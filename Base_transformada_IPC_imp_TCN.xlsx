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se" sheetId="1" state="visible" r:id="rId3"/>
    <sheet name="Nota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<sst xmlns="http://schemas.openxmlformats.org/spreadsheetml/2006/main" count="17" uniqueCount="17">
  <si>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t xml:space="preserve">Fecha</t>
  </si>
  <si>
    <t xml:space="preserve">IPC_imp</t>
  </si>
  <si>
    <t xml:space="preserve">TCN</t>
  </si>
  <si>
    <t xml:space="preserve">ln_IPC_imp</t>
  </si>
  <si>
    <t xml:space="preserve">ln_TCN</t>
  </si>
  <si>
    <t xml:space="preserve">d_ipc_imp</t>
  </si>
  <si>
    <t xml:space="preserve">d_tcn</t>
  </si>
  <si>
    <t xml:space="preserve">Base transformada para el TP Integrador (Módulo R)</t>
  </si>
  <si>
    <t xml:space="preserve">Fuente de los datos: archivo Base_Arimax.xlsx aportado por el usuario (series del BCP). Las columnas Fecha, IPC_imp y TCN (texto azul) son datos de entrada, sin modificar.</t>
  </si>
  <si>
    <t xml:space="preserve">Período: enero de 2004 a agosto de 2026, frecuencia mensual (272 observaciones).</t>
  </si>
  <si>
    <t xml:space="preserve">La columna IPC (índice general) del archivo original no se usa en este trabajo y no se incluye en esta hoja.</t>
  </si>
  <si>
    <t xml:space="preserve">Transformaciones (fórmulas, texto negro):</t>
  </si>
  <si>
    <t xml:space="preserve">ln_IPC_imp y ln_TCN: logaritmo natural del nivel, =LN(x).</t>
  </si>
  <si>
    <t xml:space="preserve">d_ipc_imp y d_tcn: primera diferencia del logaritmo, ln(x_t) - ln(x_t-1). Aproxima la variación porcentual mensual en decimales (0,01 = 1 %).</t>
  </si>
  <si>
    <t xml:space="preserve">La primera observación (ene-2004) de las diferencias queda vacía por construcción.</t>
  </si>
  <si>
    <t xml:space="preserve">Un d_tcn positivo indica depreciación del guaraní (más guaraníes por dólar).</t>
  </si>
  <si>
    <t xml:space="preserve">El mismo cálculo se realiza en R (R/01_import_transform.R) y se guarda en data/processed/base_transformada.csv con los nombres dln_ipc_imp y dln_tcn.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</si>
</sst>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mm\-yy"/>
    <numFmt numFmtId="166" formatCode="0.00"/>
    <numFmt numFmtId="167" formatCode="0.000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8CE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CED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1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7" min="7" style="0" width="11"/>
  </cols>
  <sheetData>
    <row r="1" customFormat="false" ht="19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n">
        <v>37987</v>
      </c>
      <c r="B2" s="3" t="n">
        <v>65.4360382922002</v>
      </c>
      <c r="C2" s="3" t="n">
        <v>6190.47619047619</v>
      </c>
      <c r="D2" s="4" t="n">
        <f aca="false">LN(B2)</f>
        <v>4.18107315091728</v>
      </c>
      <c r="E2" s="4" t="n">
        <f aca="false">LN(C2)</f>
        <v>8.7307672917143</v>
      </c>
      <c r="F2" s="5"/>
      <c r="G2" s="5"/>
    </row>
    <row r="3" customFormat="false" ht="15" hidden="false" customHeight="false" outlineLevel="0" collapsed="false">
      <c r="A3" s="2" t="n">
        <v>38018</v>
      </c>
      <c r="B3" s="3" t="n">
        <v>65.3923705989788</v>
      </c>
      <c r="C3" s="3" t="n">
        <v>6038.35</v>
      </c>
      <c r="D3" s="4" t="n">
        <f aca="false">LN(B3)</f>
        <v>4.18040559415017</v>
      </c>
      <c r="E3" s="4" t="n">
        <f aca="false">LN(C3)</f>
        <v>8.70588607480079</v>
      </c>
      <c r="F3" s="4" t="n">
        <f aca="false">D3-D2</f>
        <v>-0.000667556767113275</v>
      </c>
      <c r="G3" s="4" t="n">
        <f aca="false">E3-E2</f>
        <v>-0.0248812169135118</v>
      </c>
    </row>
    <row r="4" customFormat="false" ht="15" hidden="false" customHeight="false" outlineLevel="0" collapsed="false">
      <c r="A4" s="2" t="n">
        <v>38047</v>
      </c>
      <c r="B4" s="3" t="n">
        <v>65.1521982862614</v>
      </c>
      <c r="C4" s="3" t="n">
        <v>5974.63636363636</v>
      </c>
      <c r="D4" s="4" t="n">
        <f aca="false">LN(B4)</f>
        <v>4.17672604492427</v>
      </c>
      <c r="E4" s="4" t="n">
        <f aca="false">LN(C4)</f>
        <v>8.69527851530524</v>
      </c>
      <c r="F4" s="4" t="n">
        <f aca="false">D4-D3</f>
        <v>-0.00367954922589853</v>
      </c>
      <c r="G4" s="4" t="n">
        <f aca="false">E4-E3</f>
        <v>-0.010607559495547</v>
      </c>
    </row>
    <row r="5" customFormat="false" ht="15" hidden="false" customHeight="false" outlineLevel="0" collapsed="false">
      <c r="A5" s="2" t="n">
        <v>38078</v>
      </c>
      <c r="B5" s="3" t="n">
        <v>64.9338598201546</v>
      </c>
      <c r="C5" s="3" t="n">
        <v>5730.5</v>
      </c>
      <c r="D5" s="4" t="n">
        <f aca="false">LN(B5)</f>
        <v>4.17336921062072</v>
      </c>
      <c r="E5" s="4" t="n">
        <f aca="false">LN(C5)</f>
        <v>8.65355806593675</v>
      </c>
      <c r="F5" s="4" t="n">
        <f aca="false">D5-D4</f>
        <v>-0.00335683430355083</v>
      </c>
      <c r="G5" s="4" t="n">
        <f aca="false">E5-E4</f>
        <v>-0.0417204493684853</v>
      </c>
    </row>
    <row r="6" customFormat="false" ht="15" hidden="false" customHeight="false" outlineLevel="0" collapsed="false">
      <c r="A6" s="2" t="n">
        <v>38108</v>
      </c>
      <c r="B6" s="3" t="n">
        <v>64.8901921269332</v>
      </c>
      <c r="C6" s="3" t="n">
        <v>5756.90476190476</v>
      </c>
      <c r="D6" s="4" t="n">
        <f aca="false">LN(B6)</f>
        <v>4.17269648943827</v>
      </c>
      <c r="E6" s="4" t="n">
        <f aca="false">LN(C6)</f>
        <v>8.65815524153129</v>
      </c>
      <c r="F6" s="4" t="n">
        <f aca="false">D6-D5</f>
        <v>-0.000672721182450431</v>
      </c>
      <c r="G6" s="4" t="n">
        <f aca="false">E6-E5</f>
        <v>0.00459717559453488</v>
      </c>
    </row>
    <row r="7" customFormat="false" ht="15" hidden="false" customHeight="false" outlineLevel="0" collapsed="false">
      <c r="A7" s="2" t="n">
        <v>38139</v>
      </c>
      <c r="B7" s="3" t="n">
        <v>65.1303644396507</v>
      </c>
      <c r="C7" s="3" t="n">
        <v>5922.27272727273</v>
      </c>
      <c r="D7" s="4" t="n">
        <f aca="false">LN(B7)</f>
        <v>4.17639086811537</v>
      </c>
      <c r="E7" s="4" t="n">
        <f aca="false">LN(C7)</f>
        <v>8.68647556083866</v>
      </c>
      <c r="F7" s="4" t="n">
        <f aca="false">D7-D6</f>
        <v>0.00369437867709888</v>
      </c>
      <c r="G7" s="4" t="n">
        <f aca="false">E7-E6</f>
        <v>0.0283203193073724</v>
      </c>
    </row>
    <row r="8" customFormat="false" ht="15" hidden="false" customHeight="false" outlineLevel="0" collapsed="false">
      <c r="A8" s="2" t="n">
        <v>38169</v>
      </c>
      <c r="B8" s="3" t="n">
        <v>64.7591890472692</v>
      </c>
      <c r="C8" s="3" t="n">
        <v>5903.40909090909</v>
      </c>
      <c r="D8" s="4" t="n">
        <f aca="false">LN(B8)</f>
        <v>4.1706756062985</v>
      </c>
      <c r="E8" s="4" t="n">
        <f aca="false">LN(C8)</f>
        <v>8.68328527504321</v>
      </c>
      <c r="F8" s="4" t="n">
        <f aca="false">D8-D7</f>
        <v>-0.00571526181687165</v>
      </c>
      <c r="G8" s="4" t="n">
        <f aca="false">E8-E7</f>
        <v>-0.00319028579544778</v>
      </c>
    </row>
    <row r="9" customFormat="false" ht="15" hidden="false" customHeight="false" outlineLevel="0" collapsed="false">
      <c r="A9" s="2" t="n">
        <v>38200</v>
      </c>
      <c r="B9" s="3" t="n">
        <v>64.8465244337119</v>
      </c>
      <c r="C9" s="3" t="n">
        <v>5908.81818181818</v>
      </c>
      <c r="D9" s="4" t="n">
        <f aca="false">LN(B9)</f>
        <v>4.17202331539736</v>
      </c>
      <c r="E9" s="4" t="n">
        <f aca="false">LN(C9)</f>
        <v>8.68420112116813</v>
      </c>
      <c r="F9" s="4" t="n">
        <f aca="false">D9-D8</f>
        <v>0.0013477090988685</v>
      </c>
      <c r="G9" s="4" t="n">
        <f aca="false">E9-E8</f>
        <v>0.000915846124915021</v>
      </c>
    </row>
    <row r="10" customFormat="false" ht="15" hidden="false" customHeight="false" outlineLevel="0" collapsed="false">
      <c r="A10" s="2" t="n">
        <v>38231</v>
      </c>
      <c r="B10" s="3" t="n">
        <v>65.0866967464294</v>
      </c>
      <c r="C10" s="3" t="n">
        <v>5919.33333333333</v>
      </c>
      <c r="D10" s="4" t="n">
        <f aca="false">LN(B10)</f>
        <v>4.17572017727869</v>
      </c>
      <c r="E10" s="4" t="n">
        <f aca="false">LN(C10)</f>
        <v>8.68597910892416</v>
      </c>
      <c r="F10" s="4" t="n">
        <f aca="false">D10-D9</f>
        <v>0.00369686188132601</v>
      </c>
      <c r="G10" s="4" t="n">
        <f aca="false">E10-E9</f>
        <v>0.00177798775603399</v>
      </c>
    </row>
    <row r="11" customFormat="false" ht="15" hidden="false" customHeight="false" outlineLevel="0" collapsed="false">
      <c r="A11" s="2" t="n">
        <v>38261</v>
      </c>
      <c r="B11" s="3" t="n">
        <v>65.1740321328721</v>
      </c>
      <c r="C11" s="3" t="n">
        <v>5995</v>
      </c>
      <c r="D11" s="4" t="n">
        <f aca="false">LN(B11)</f>
        <v>4.17706110942732</v>
      </c>
      <c r="E11" s="4" t="n">
        <f aca="false">LN(C11)</f>
        <v>8.69868106746161</v>
      </c>
      <c r="F11" s="4" t="n">
        <f aca="false">D11-D10</f>
        <v>0.00134093214863107</v>
      </c>
      <c r="G11" s="4" t="n">
        <f aca="false">E11-E10</f>
        <v>0.0127019585374519</v>
      </c>
    </row>
    <row r="12" customFormat="false" ht="15" hidden="false" customHeight="false" outlineLevel="0" collapsed="false">
      <c r="A12" s="2" t="n">
        <v>38292</v>
      </c>
      <c r="B12" s="3" t="n">
        <v>65.3050352125361</v>
      </c>
      <c r="C12" s="3" t="n">
        <v>6100</v>
      </c>
      <c r="D12" s="4" t="n">
        <f aca="false">LN(B12)</f>
        <v>4.17906914223057</v>
      </c>
      <c r="E12" s="4" t="n">
        <f aca="false">LN(C12)</f>
        <v>8.7160440501614</v>
      </c>
      <c r="F12" s="4" t="n">
        <f aca="false">D12-D11</f>
        <v>0.00200803280324546</v>
      </c>
      <c r="G12" s="4" t="n">
        <f aca="false">E12-E11</f>
        <v>0.0173629826997885</v>
      </c>
    </row>
    <row r="13" customFormat="false" ht="15" hidden="false" customHeight="false" outlineLevel="0" collapsed="false">
      <c r="A13" s="2" t="n">
        <v>38322</v>
      </c>
      <c r="B13" s="3" t="n">
        <v>65.5452075252536</v>
      </c>
      <c r="C13" s="3" t="n">
        <v>6185.22727272727</v>
      </c>
      <c r="D13" s="4" t="n">
        <f aca="false">LN(B13)</f>
        <v>4.18274009579403</v>
      </c>
      <c r="E13" s="4" t="n">
        <f aca="false">LN(C13)</f>
        <v>8.72991902994409</v>
      </c>
      <c r="F13" s="4" t="n">
        <f aca="false">D13-D12</f>
        <v>0.00367095356345892</v>
      </c>
      <c r="G13" s="4" t="n">
        <f aca="false">E13-E12</f>
        <v>0.0138749797826829</v>
      </c>
    </row>
    <row r="14" customFormat="false" ht="15" hidden="false" customHeight="false" outlineLevel="0" collapsed="false">
      <c r="A14" s="2" t="n">
        <v>38353</v>
      </c>
      <c r="B14" s="3" t="n">
        <v>66.2220567701846</v>
      </c>
      <c r="C14" s="3" t="n">
        <v>6276.66666666667</v>
      </c>
      <c r="D14" s="4" t="n">
        <f aca="false">LN(B14)</f>
        <v>4.1930135912892</v>
      </c>
      <c r="E14" s="4" t="n">
        <f aca="false">LN(C14)</f>
        <v>8.74459433298309</v>
      </c>
      <c r="F14" s="4" t="n">
        <f aca="false">D14-D13</f>
        <v>0.0102734954951744</v>
      </c>
      <c r="G14" s="4" t="n">
        <f aca="false">E14-E13</f>
        <v>0.0146753030390041</v>
      </c>
    </row>
    <row r="15" customFormat="false" ht="15" hidden="false" customHeight="false" outlineLevel="0" collapsed="false">
      <c r="A15" s="2" t="n">
        <v>38384</v>
      </c>
      <c r="B15" s="3" t="n">
        <v>67.1172444812223</v>
      </c>
      <c r="C15" s="3" t="n">
        <v>6311</v>
      </c>
      <c r="D15" s="4" t="n">
        <f aca="false">LN(B15)</f>
        <v>4.20644100769916</v>
      </c>
      <c r="E15" s="4" t="n">
        <f aca="false">LN(C15)</f>
        <v>8.75004942158424</v>
      </c>
      <c r="F15" s="4" t="n">
        <f aca="false">D15-D14</f>
        <v>0.0134274164099599</v>
      </c>
      <c r="G15" s="4" t="n">
        <f aca="false">E15-E14</f>
        <v>0.00545508860115085</v>
      </c>
    </row>
    <row r="16" customFormat="false" ht="15" hidden="false" customHeight="false" outlineLevel="0" collapsed="false">
      <c r="A16" s="2" t="n">
        <v>38412</v>
      </c>
      <c r="B16" s="3" t="n">
        <v>67.9250968058174</v>
      </c>
      <c r="C16" s="3" t="n">
        <v>6262.25</v>
      </c>
      <c r="D16" s="4" t="n">
        <f aca="false">LN(B16)</f>
        <v>4.21840558049825</v>
      </c>
      <c r="E16" s="4" t="n">
        <f aca="false">LN(C16)</f>
        <v>8.74229482443661</v>
      </c>
      <c r="F16" s="4" t="n">
        <f aca="false">D16-D15</f>
        <v>0.0119645727990951</v>
      </c>
      <c r="G16" s="4" t="n">
        <f aca="false">E16-E15</f>
        <v>-0.00775459714763116</v>
      </c>
    </row>
    <row r="17" customFormat="false" ht="15" hidden="false" customHeight="false" outlineLevel="0" collapsed="false">
      <c r="A17" s="2" t="n">
        <v>38443</v>
      </c>
      <c r="B17" s="3" t="n">
        <v>68.5801122041377</v>
      </c>
      <c r="C17" s="3" t="n">
        <v>6267.75</v>
      </c>
      <c r="D17" s="4" t="n">
        <f aca="false">LN(B17)</f>
        <v>4.22800258313927</v>
      </c>
      <c r="E17" s="4" t="n">
        <f aca="false">LN(C17)</f>
        <v>8.74317271754966</v>
      </c>
      <c r="F17" s="4" t="n">
        <f aca="false">D17-D16</f>
        <v>0.00959700264101038</v>
      </c>
      <c r="G17" s="4" t="n">
        <f aca="false">E17-E16</f>
        <v>0.000877893113045758</v>
      </c>
    </row>
    <row r="18" customFormat="false" ht="15" hidden="false" customHeight="false" outlineLevel="0" collapsed="false">
      <c r="A18" s="2" t="n">
        <v>38473</v>
      </c>
      <c r="B18" s="3" t="n">
        <v>69.1914599092367</v>
      </c>
      <c r="C18" s="3" t="n">
        <v>6242.72727272727</v>
      </c>
      <c r="D18" s="4" t="n">
        <f aca="false">LN(B18)</f>
        <v>4.23687744329154</v>
      </c>
      <c r="E18" s="4" t="n">
        <f aca="false">LN(C18)</f>
        <v>8.73917242881635</v>
      </c>
      <c r="F18" s="4" t="n">
        <f aca="false">D18-D17</f>
        <v>0.00887486015227346</v>
      </c>
      <c r="G18" s="4" t="n">
        <f aca="false">E18-E17</f>
        <v>-0.00400028873330349</v>
      </c>
    </row>
    <row r="19" customFormat="false" ht="15" hidden="false" customHeight="false" outlineLevel="0" collapsed="false">
      <c r="A19" s="2" t="n">
        <v>38504</v>
      </c>
      <c r="B19" s="3" t="n">
        <v>69.6281368414502</v>
      </c>
      <c r="C19" s="3" t="n">
        <v>6129.31818181818</v>
      </c>
      <c r="D19" s="4" t="n">
        <f aca="false">LN(B19)</f>
        <v>4.24316875061068</v>
      </c>
      <c r="E19" s="4" t="n">
        <f aca="false">LN(C19)</f>
        <v>8.72083879628707</v>
      </c>
      <c r="F19" s="4" t="n">
        <f aca="false">D19-D18</f>
        <v>0.0062913073191373</v>
      </c>
      <c r="G19" s="4" t="n">
        <f aca="false">E19-E18</f>
        <v>-0.0183336325292824</v>
      </c>
    </row>
    <row r="20" customFormat="false" ht="15" hidden="false" customHeight="false" outlineLevel="0" collapsed="false">
      <c r="A20" s="2" t="n">
        <v>38534</v>
      </c>
      <c r="B20" s="3" t="n">
        <v>70.0866476202745</v>
      </c>
      <c r="C20" s="3" t="n">
        <v>6020.47619047619</v>
      </c>
      <c r="D20" s="4" t="n">
        <f aca="false">LN(B20)</f>
        <v>4.24973229972468</v>
      </c>
      <c r="E20" s="4" t="n">
        <f aca="false">LN(C20)</f>
        <v>8.70292163658252</v>
      </c>
      <c r="F20" s="4" t="n">
        <f aca="false">D20-D19</f>
        <v>0.00656354911400392</v>
      </c>
      <c r="G20" s="4" t="n">
        <f aca="false">E20-E19</f>
        <v>-0.0179171597045489</v>
      </c>
    </row>
    <row r="21" customFormat="false" ht="15" hidden="false" customHeight="false" outlineLevel="0" collapsed="false">
      <c r="A21" s="2" t="n">
        <v>38565</v>
      </c>
      <c r="B21" s="3" t="n">
        <v>70.9818353313123</v>
      </c>
      <c r="C21" s="3" t="n">
        <v>5996.81818181818</v>
      </c>
      <c r="D21" s="4" t="n">
        <f aca="false">LN(B21)</f>
        <v>4.26242400390452</v>
      </c>
      <c r="E21" s="4" t="n">
        <f aca="false">LN(C21)</f>
        <v>8.69898430451951</v>
      </c>
      <c r="F21" s="4" t="n">
        <f aca="false">D21-D20</f>
        <v>0.0126917041798436</v>
      </c>
      <c r="G21" s="4" t="n">
        <f aca="false">E21-E20</f>
        <v>-0.00393733206301405</v>
      </c>
    </row>
    <row r="22" customFormat="false" ht="15" hidden="false" customHeight="false" outlineLevel="0" collapsed="false">
      <c r="A22" s="2" t="n">
        <v>38596</v>
      </c>
      <c r="B22" s="3" t="n">
        <v>71.2656753372511</v>
      </c>
      <c r="C22" s="3" t="n">
        <v>6110.2380952381</v>
      </c>
      <c r="D22" s="4" t="n">
        <f aca="false">LN(B22)</f>
        <v>4.26641479968462</v>
      </c>
      <c r="E22" s="4" t="n">
        <f aca="false">LN(C22)</f>
        <v>8.71772101953048</v>
      </c>
      <c r="F22" s="4" t="n">
        <f aca="false">D22-D21</f>
        <v>0.00399079578009243</v>
      </c>
      <c r="G22" s="4" t="n">
        <f aca="false">E22-E21</f>
        <v>0.0187367150109719</v>
      </c>
    </row>
    <row r="23" customFormat="false" ht="15" hidden="false" customHeight="false" outlineLevel="0" collapsed="false">
      <c r="A23" s="2" t="n">
        <v>38626</v>
      </c>
      <c r="B23" s="3" t="n">
        <v>71.7896876559073</v>
      </c>
      <c r="C23" s="3" t="n">
        <v>6118.80952380952</v>
      </c>
      <c r="D23" s="4" t="n">
        <f aca="false">LN(B23)</f>
        <v>4.27374083977669</v>
      </c>
      <c r="E23" s="4" t="n">
        <f aca="false">LN(C23)</f>
        <v>8.71912283433112</v>
      </c>
      <c r="F23" s="4" t="n">
        <f aca="false">D23-D22</f>
        <v>0.00732604009207272</v>
      </c>
      <c r="G23" s="4" t="n">
        <f aca="false">E23-E22</f>
        <v>0.00140181480064072</v>
      </c>
    </row>
    <row r="24" customFormat="false" ht="15" hidden="false" customHeight="false" outlineLevel="0" collapsed="false">
      <c r="A24" s="2" t="n">
        <v>38657</v>
      </c>
      <c r="B24" s="3" t="n">
        <v>72.2481984347315</v>
      </c>
      <c r="C24" s="3" t="n">
        <v>6127.5</v>
      </c>
      <c r="D24" s="4" t="n">
        <f aca="false">LN(B24)</f>
        <v>4.28010739152223</v>
      </c>
      <c r="E24" s="4" t="n">
        <f aca="false">LN(C24)</f>
        <v>8.72054211540227</v>
      </c>
      <c r="F24" s="4" t="n">
        <f aca="false">D24-D23</f>
        <v>0.00636655174554157</v>
      </c>
      <c r="G24" s="4" t="n">
        <f aca="false">E24-E23</f>
        <v>0.00141928107114886</v>
      </c>
    </row>
    <row r="25" customFormat="false" ht="15" hidden="false" customHeight="false" outlineLevel="0" collapsed="false">
      <c r="A25" s="2" t="n">
        <v>38687</v>
      </c>
      <c r="B25" s="3" t="n">
        <v>72.422869207617</v>
      </c>
      <c r="C25" s="3" t="n">
        <v>6109.52380952381</v>
      </c>
      <c r="D25" s="4" t="n">
        <f aca="false">LN(B25)</f>
        <v>4.28252212254767</v>
      </c>
      <c r="E25" s="4" t="n">
        <f aca="false">LN(C25)</f>
        <v>8.7176041128803</v>
      </c>
      <c r="F25" s="4" t="n">
        <f aca="false">D25-D24</f>
        <v>0.00241473102544099</v>
      </c>
      <c r="G25" s="4" t="n">
        <f aca="false">E25-E24</f>
        <v>-0.00293800252196341</v>
      </c>
    </row>
    <row r="26" customFormat="false" ht="15" hidden="false" customHeight="false" outlineLevel="0" collapsed="false">
      <c r="A26" s="2" t="n">
        <v>38718</v>
      </c>
      <c r="B26" s="3" t="n">
        <v>72.422869207617</v>
      </c>
      <c r="C26" s="3" t="n">
        <v>6125.90909090909</v>
      </c>
      <c r="D26" s="4" t="n">
        <f aca="false">LN(B26)</f>
        <v>4.28252212254767</v>
      </c>
      <c r="E26" s="4" t="n">
        <f aca="false">LN(C26)</f>
        <v>8.72028244740489</v>
      </c>
      <c r="F26" s="4" t="n">
        <f aca="false">D26-D25</f>
        <v>0</v>
      </c>
      <c r="G26" s="4" t="n">
        <f aca="false">E26-E25</f>
        <v>0.00267833452458532</v>
      </c>
    </row>
    <row r="27" customFormat="false" ht="15" hidden="false" customHeight="false" outlineLevel="0" collapsed="false">
      <c r="A27" s="2" t="n">
        <v>38749</v>
      </c>
      <c r="B27" s="3" t="n">
        <v>72.8595461398305</v>
      </c>
      <c r="C27" s="3" t="n">
        <v>6059</v>
      </c>
      <c r="D27" s="4" t="n">
        <f aca="false">LN(B27)</f>
        <v>4.28853356235199</v>
      </c>
      <c r="E27" s="4" t="n">
        <f aca="false">LN(C27)</f>
        <v>8.70930004894499</v>
      </c>
      <c r="F27" s="4" t="n">
        <f aca="false">D27-D26</f>
        <v>0.00601143980432095</v>
      </c>
      <c r="G27" s="4" t="n">
        <f aca="false">E27-E26</f>
        <v>-0.0109823984599</v>
      </c>
    </row>
    <row r="28" customFormat="false" ht="15" hidden="false" customHeight="false" outlineLevel="0" collapsed="false">
      <c r="A28" s="2" t="n">
        <v>38777</v>
      </c>
      <c r="B28" s="3" t="n">
        <v>73.1433861457693</v>
      </c>
      <c r="C28" s="3" t="n">
        <v>5884.09090909091</v>
      </c>
      <c r="D28" s="4" t="n">
        <f aca="false">LN(B28)</f>
        <v>4.29242170841973</v>
      </c>
      <c r="E28" s="4" t="n">
        <f aca="false">LN(C28)</f>
        <v>8.68000753182137</v>
      </c>
      <c r="F28" s="4" t="n">
        <f aca="false">D28-D27</f>
        <v>0.00388814606773824</v>
      </c>
      <c r="G28" s="4" t="n">
        <f aca="false">E28-E27</f>
        <v>-0.029292517123622</v>
      </c>
    </row>
    <row r="29" customFormat="false" ht="15" hidden="false" customHeight="false" outlineLevel="0" collapsed="false">
      <c r="A29" s="2" t="n">
        <v>38808</v>
      </c>
      <c r="B29" s="3" t="n">
        <v>73.16521999238</v>
      </c>
      <c r="C29" s="3" t="n">
        <v>5796.66666666667</v>
      </c>
      <c r="D29" s="4" t="n">
        <f aca="false">LN(B29)</f>
        <v>4.29272017133793</v>
      </c>
      <c r="E29" s="4" t="n">
        <f aca="false">LN(C29)</f>
        <v>8.66503831868022</v>
      </c>
      <c r="F29" s="4" t="n">
        <f aca="false">D29-D28</f>
        <v>0.000298462918198794</v>
      </c>
      <c r="G29" s="4" t="n">
        <f aca="false">E29-E28</f>
        <v>-0.0149692131411481</v>
      </c>
    </row>
    <row r="30" customFormat="false" ht="15" hidden="false" customHeight="false" outlineLevel="0" collapsed="false">
      <c r="A30" s="2" t="n">
        <v>38838</v>
      </c>
      <c r="B30" s="3" t="n">
        <v>73.0778846059373</v>
      </c>
      <c r="C30" s="3" t="n">
        <v>5595.71428571429</v>
      </c>
      <c r="D30" s="4" t="n">
        <f aca="false">LN(B30)</f>
        <v>4.29152578481194</v>
      </c>
      <c r="E30" s="4" t="n">
        <f aca="false">LN(C30)</f>
        <v>8.62975627760456</v>
      </c>
      <c r="F30" s="4" t="n">
        <f aca="false">D30-D29</f>
        <v>-0.00119438652598447</v>
      </c>
      <c r="G30" s="4" t="n">
        <f aca="false">E30-E29</f>
        <v>-0.0352820410756554</v>
      </c>
    </row>
    <row r="31" customFormat="false" ht="15" hidden="false" customHeight="false" outlineLevel="0" collapsed="false">
      <c r="A31" s="2" t="n">
        <v>38869</v>
      </c>
      <c r="B31" s="3" t="n">
        <v>73.3617246118761</v>
      </c>
      <c r="C31" s="3" t="n">
        <v>5615.2380952381</v>
      </c>
      <c r="D31" s="4" t="n">
        <f aca="false">LN(B31)</f>
        <v>4.29540233655787</v>
      </c>
      <c r="E31" s="4" t="n">
        <f aca="false">LN(C31)</f>
        <v>8.63323926969974</v>
      </c>
      <c r="F31" s="4" t="n">
        <f aca="false">D31-D30</f>
        <v>0.00387655174592361</v>
      </c>
      <c r="G31" s="4" t="n">
        <f aca="false">E31-E30</f>
        <v>0.00348299209517755</v>
      </c>
    </row>
    <row r="32" customFormat="false" ht="15" hidden="false" customHeight="false" outlineLevel="0" collapsed="false">
      <c r="A32" s="2" t="n">
        <v>38899</v>
      </c>
      <c r="B32" s="3" t="n">
        <v>73.3398907652654</v>
      </c>
      <c r="C32" s="3" t="n">
        <v>5491.90476190476</v>
      </c>
      <c r="D32" s="4" t="n">
        <f aca="false">LN(B32)</f>
        <v>4.29510467321291</v>
      </c>
      <c r="E32" s="4" t="n">
        <f aca="false">LN(C32)</f>
        <v>8.61103042549656</v>
      </c>
      <c r="F32" s="4" t="n">
        <f aca="false">D32-D31</f>
        <v>-0.0002976633449574</v>
      </c>
      <c r="G32" s="4" t="n">
        <f aca="false">E32-E31</f>
        <v>-0.0222088442031794</v>
      </c>
    </row>
    <row r="33" customFormat="false" ht="15" hidden="false" customHeight="false" outlineLevel="0" collapsed="false">
      <c r="A33" s="2" t="n">
        <v>38930</v>
      </c>
      <c r="B33" s="3" t="n">
        <v>73.2525553788227</v>
      </c>
      <c r="C33" s="3" t="n">
        <v>5423.18181818182</v>
      </c>
      <c r="D33" s="4" t="n">
        <f aca="false">LN(B33)</f>
        <v>4.2939131330064</v>
      </c>
      <c r="E33" s="4" t="n">
        <f aca="false">LN(C33)</f>
        <v>8.59843797351153</v>
      </c>
      <c r="F33" s="4" t="n">
        <f aca="false">D33-D32</f>
        <v>-0.00119154020651013</v>
      </c>
      <c r="G33" s="4" t="n">
        <f aca="false">E33-E32</f>
        <v>-0.0125924519850322</v>
      </c>
    </row>
    <row r="34" customFormat="false" ht="15" hidden="false" customHeight="false" outlineLevel="0" collapsed="false">
      <c r="A34" s="2" t="n">
        <v>38961</v>
      </c>
      <c r="B34" s="3" t="n">
        <v>73.2743892254334</v>
      </c>
      <c r="C34" s="3" t="n">
        <v>5398.25</v>
      </c>
      <c r="D34" s="4" t="n">
        <f aca="false">LN(B34)</f>
        <v>4.29421115118772</v>
      </c>
      <c r="E34" s="4" t="n">
        <f aca="false">LN(C34)</f>
        <v>8.59383010595494</v>
      </c>
      <c r="F34" s="4" t="n">
        <f aca="false">D34-D33</f>
        <v>0.000298018181314141</v>
      </c>
      <c r="G34" s="4" t="n">
        <f aca="false">E34-E33</f>
        <v>-0.00460786755658837</v>
      </c>
    </row>
    <row r="35" customFormat="false" ht="15" hidden="false" customHeight="false" outlineLevel="0" collapsed="false">
      <c r="A35" s="2" t="n">
        <v>38991</v>
      </c>
      <c r="B35" s="3" t="n">
        <v>73.1433861457693</v>
      </c>
      <c r="C35" s="3" t="n">
        <v>5344.77272727273</v>
      </c>
      <c r="D35" s="4" t="n">
        <f aca="false">LN(B35)</f>
        <v>4.29242170841973</v>
      </c>
      <c r="E35" s="4" t="n">
        <f aca="false">LN(C35)</f>
        <v>8.58387430193262</v>
      </c>
      <c r="F35" s="4" t="n">
        <f aca="false">D35-D34</f>
        <v>-0.00178944276798454</v>
      </c>
      <c r="G35" s="4" t="n">
        <f aca="false">E35-E34</f>
        <v>-0.00995580402232577</v>
      </c>
    </row>
    <row r="36" customFormat="false" ht="15" hidden="false" customHeight="false" outlineLevel="0" collapsed="false">
      <c r="A36" s="2" t="n">
        <v>39022</v>
      </c>
      <c r="B36" s="3" t="n">
        <v>73.16521999238</v>
      </c>
      <c r="C36" s="3" t="n">
        <v>5396.36363636364</v>
      </c>
      <c r="D36" s="4" t="n">
        <f aca="false">LN(B36)</f>
        <v>4.29272017133793</v>
      </c>
      <c r="E36" s="4" t="n">
        <f aca="false">LN(C36)</f>
        <v>8.59348060504289</v>
      </c>
      <c r="F36" s="4" t="n">
        <f aca="false">D36-D35</f>
        <v>0.000298462918198794</v>
      </c>
      <c r="G36" s="4" t="n">
        <f aca="false">E36-E35</f>
        <v>0.00960630311027622</v>
      </c>
    </row>
    <row r="37" customFormat="false" ht="15" hidden="false" customHeight="false" outlineLevel="0" collapsed="false">
      <c r="A37" s="2" t="n">
        <v>39052</v>
      </c>
      <c r="B37" s="3" t="n">
        <v>73.099718452548</v>
      </c>
      <c r="C37" s="3" t="n">
        <v>5313.15789473684</v>
      </c>
      <c r="D37" s="4" t="n">
        <f aca="false">LN(B37)</f>
        <v>4.29182451520998</v>
      </c>
      <c r="E37" s="4" t="n">
        <f aca="false">LN(C37)</f>
        <v>8.57794164457454</v>
      </c>
      <c r="F37" s="4" t="n">
        <f aca="false">D37-D36</f>
        <v>-0.000895656127944733</v>
      </c>
      <c r="G37" s="4" t="n">
        <f aca="false">E37-E36</f>
        <v>-0.0155389604683478</v>
      </c>
    </row>
    <row r="38" customFormat="false" ht="15" hidden="false" customHeight="false" outlineLevel="0" collapsed="false">
      <c r="A38" s="2" t="n">
        <v>39083</v>
      </c>
      <c r="B38" s="3" t="n">
        <v>72.9687153728839</v>
      </c>
      <c r="C38" s="3" t="n">
        <v>5200.68181818182</v>
      </c>
      <c r="D38" s="4" t="n">
        <f aca="false">LN(B38)</f>
        <v>4.29003079275596</v>
      </c>
      <c r="E38" s="4" t="n">
        <f aca="false">LN(C38)</f>
        <v>8.55654501485531</v>
      </c>
      <c r="F38" s="4" t="n">
        <f aca="false">D38-D37</f>
        <v>-0.00179372245402742</v>
      </c>
      <c r="G38" s="4" t="n">
        <f aca="false">E38-E37</f>
        <v>-0.0213966297192361</v>
      </c>
    </row>
    <row r="39" customFormat="false" ht="15" hidden="false" customHeight="false" outlineLevel="0" collapsed="false">
      <c r="A39" s="2" t="n">
        <v>39114</v>
      </c>
      <c r="B39" s="3" t="n">
        <v>72.8377122932198</v>
      </c>
      <c r="C39" s="3" t="n">
        <v>5204</v>
      </c>
      <c r="D39" s="4" t="n">
        <f aca="false">LN(B39)</f>
        <v>4.28823384707926</v>
      </c>
      <c r="E39" s="4" t="n">
        <f aca="false">LN(C39)</f>
        <v>8.5571828396324</v>
      </c>
      <c r="F39" s="4" t="n">
        <f aca="false">D39-D38</f>
        <v>-0.00179694567670108</v>
      </c>
      <c r="G39" s="4" t="n">
        <f aca="false">E39-E38</f>
        <v>0.000637824777088625</v>
      </c>
    </row>
    <row r="40" customFormat="false" ht="15" hidden="false" customHeight="false" outlineLevel="0" collapsed="false">
      <c r="A40" s="2" t="n">
        <v>39142</v>
      </c>
      <c r="B40" s="3" t="n">
        <v>72.7503769067771</v>
      </c>
      <c r="C40" s="3" t="n">
        <v>5090.95238095238</v>
      </c>
      <c r="D40" s="4" t="n">
        <f aca="false">LN(B40)</f>
        <v>4.28703408688735</v>
      </c>
      <c r="E40" s="4" t="n">
        <f aca="false">LN(C40)</f>
        <v>8.53522020028412</v>
      </c>
      <c r="F40" s="4" t="n">
        <f aca="false">D40-D39</f>
        <v>-0.00119976019190471</v>
      </c>
      <c r="G40" s="4" t="n">
        <f aca="false">E40-E39</f>
        <v>-0.0219626393482741</v>
      </c>
    </row>
    <row r="41" customFormat="false" ht="15" hidden="false" customHeight="false" outlineLevel="0" collapsed="false">
      <c r="A41" s="2" t="n">
        <v>39173</v>
      </c>
      <c r="B41" s="3" t="n">
        <v>72.6193738271131</v>
      </c>
      <c r="C41" s="3" t="n">
        <v>5023.15789473684</v>
      </c>
      <c r="D41" s="4" t="n">
        <f aca="false">LN(B41)</f>
        <v>4.28523174335349</v>
      </c>
      <c r="E41" s="4" t="n">
        <f aca="false">LN(C41)</f>
        <v>8.52181407760536</v>
      </c>
      <c r="F41" s="4" t="n">
        <f aca="false">D41-D40</f>
        <v>-0.00180234353385966</v>
      </c>
      <c r="G41" s="4" t="n">
        <f aca="false">E41-E40</f>
        <v>-0.0134061226787647</v>
      </c>
    </row>
    <row r="42" customFormat="false" ht="15" hidden="false" customHeight="false" outlineLevel="0" collapsed="false">
      <c r="A42" s="2" t="n">
        <v>39203</v>
      </c>
      <c r="B42" s="3" t="n">
        <v>72.6412076737237</v>
      </c>
      <c r="C42" s="3" t="n">
        <v>5045.71428571429</v>
      </c>
      <c r="D42" s="4" t="n">
        <f aca="false">LN(B42)</f>
        <v>4.28553235961909</v>
      </c>
      <c r="E42" s="4" t="n">
        <f aca="false">LN(C42)</f>
        <v>8.52629450566258</v>
      </c>
      <c r="F42" s="4" t="n">
        <f aca="false">D42-D41</f>
        <v>0.000300616265603182</v>
      </c>
      <c r="G42" s="4" t="n">
        <f aca="false">E42-E41</f>
        <v>0.00448042805722437</v>
      </c>
    </row>
    <row r="43" customFormat="false" ht="15" hidden="false" customHeight="false" outlineLevel="0" collapsed="false">
      <c r="A43" s="2" t="n">
        <v>39234</v>
      </c>
      <c r="B43" s="3" t="n">
        <v>73.9512384703644</v>
      </c>
      <c r="C43" s="3" t="n">
        <v>5069.5</v>
      </c>
      <c r="D43" s="4" t="n">
        <f aca="false">LN(B43)</f>
        <v>4.30340593641839</v>
      </c>
      <c r="E43" s="4" t="n">
        <f aca="false">LN(C43)</f>
        <v>8.53099747239264</v>
      </c>
      <c r="F43" s="4" t="n">
        <f aca="false">D43-D42</f>
        <v>0.0178735767992952</v>
      </c>
      <c r="G43" s="4" t="n">
        <f aca="false">E43-E42</f>
        <v>0.00470296673005244</v>
      </c>
    </row>
    <row r="44" customFormat="false" ht="15" hidden="false" customHeight="false" outlineLevel="0" collapsed="false">
      <c r="A44" s="2" t="n">
        <v>39264</v>
      </c>
      <c r="B44" s="3" t="n">
        <v>74.9774292610662</v>
      </c>
      <c r="C44" s="3" t="n">
        <v>5110.68181818182</v>
      </c>
      <c r="D44" s="4" t="n">
        <f aca="false">LN(B44)</f>
        <v>4.31718712505804</v>
      </c>
      <c r="E44" s="4" t="n">
        <f aca="false">LN(C44)</f>
        <v>8.53908810251262</v>
      </c>
      <c r="F44" s="4" t="n">
        <f aca="false">D44-D43</f>
        <v>0.0137811886396495</v>
      </c>
      <c r="G44" s="4" t="n">
        <f aca="false">E44-E43</f>
        <v>0.00809063011998212</v>
      </c>
    </row>
    <row r="45" customFormat="false" ht="15" hidden="false" customHeight="false" outlineLevel="0" collapsed="false">
      <c r="A45" s="2" t="n">
        <v>39295</v>
      </c>
      <c r="B45" s="3" t="n">
        <v>75.938118511936</v>
      </c>
      <c r="C45" s="3" t="n">
        <v>5096.13636363636</v>
      </c>
      <c r="D45" s="4" t="n">
        <f aca="false">LN(B45)</f>
        <v>4.32991877851485</v>
      </c>
      <c r="E45" s="4" t="n">
        <f aca="false">LN(C45)</f>
        <v>8.53623795584932</v>
      </c>
      <c r="F45" s="4" t="n">
        <f aca="false">D45-D44</f>
        <v>0.0127316534568074</v>
      </c>
      <c r="G45" s="4" t="n">
        <f aca="false">E45-E44</f>
        <v>-0.00285014666330063</v>
      </c>
    </row>
    <row r="46" customFormat="false" ht="15" hidden="false" customHeight="false" outlineLevel="0" collapsed="false">
      <c r="A46" s="2" t="n">
        <v>39326</v>
      </c>
      <c r="B46" s="3" t="n">
        <v>76.2219585178748</v>
      </c>
      <c r="C46" s="3" t="n">
        <v>5012.5</v>
      </c>
      <c r="D46" s="4" t="n">
        <f aca="false">LN(B46)</f>
        <v>4.33364959070565</v>
      </c>
      <c r="E46" s="4" t="n">
        <f aca="false">LN(C46)</f>
        <v>8.51969007161483</v>
      </c>
      <c r="F46" s="4" t="n">
        <f aca="false">D46-D45</f>
        <v>0.00373081219080795</v>
      </c>
      <c r="G46" s="4" t="n">
        <f aca="false">E46-E45</f>
        <v>-0.0165478842344911</v>
      </c>
    </row>
    <row r="47" customFormat="false" ht="15" hidden="false" customHeight="false" outlineLevel="0" collapsed="false">
      <c r="A47" s="2" t="n">
        <v>39356</v>
      </c>
      <c r="B47" s="3" t="n">
        <v>76.3311277509282</v>
      </c>
      <c r="C47" s="3" t="n">
        <v>4952.82608695652</v>
      </c>
      <c r="D47" s="4" t="n">
        <f aca="false">LN(B47)</f>
        <v>4.33508082037604</v>
      </c>
      <c r="E47" s="4" t="n">
        <f aca="false">LN(C47)</f>
        <v>8.507713619304</v>
      </c>
      <c r="F47" s="4" t="n">
        <f aca="false">D47-D46</f>
        <v>0.00143122967038956</v>
      </c>
      <c r="G47" s="4" t="n">
        <f aca="false">E47-E46</f>
        <v>-0.0119764523108241</v>
      </c>
    </row>
    <row r="48" customFormat="false" ht="15" hidden="false" customHeight="false" outlineLevel="0" collapsed="false">
      <c r="A48" s="2" t="n">
        <v>39387</v>
      </c>
      <c r="B48" s="3" t="n">
        <v>76.549466217035</v>
      </c>
      <c r="C48" s="3" t="n">
        <v>4714.31818181818</v>
      </c>
      <c r="D48" s="4" t="n">
        <f aca="false">LN(B48)</f>
        <v>4.3379371490818</v>
      </c>
      <c r="E48" s="4" t="n">
        <f aca="false">LN(C48)</f>
        <v>8.45835957842193</v>
      </c>
      <c r="F48" s="4" t="n">
        <f aca="false">D48-D47</f>
        <v>0.0028563287057537</v>
      </c>
      <c r="G48" s="4" t="n">
        <f aca="false">E48-E47</f>
        <v>-0.0493540408820703</v>
      </c>
    </row>
    <row r="49" customFormat="false" ht="15" hidden="false" customHeight="false" outlineLevel="0" collapsed="false">
      <c r="A49" s="2" t="n">
        <v>39417</v>
      </c>
      <c r="B49" s="3" t="n">
        <v>76.7459708365311</v>
      </c>
      <c r="C49" s="3" t="n">
        <v>4716.5</v>
      </c>
      <c r="D49" s="4" t="n">
        <f aca="false">LN(B49)</f>
        <v>4.34050088784538</v>
      </c>
      <c r="E49" s="4" t="n">
        <f aca="false">LN(C49)</f>
        <v>8.45882227808991</v>
      </c>
      <c r="F49" s="4" t="n">
        <f aca="false">D49-D48</f>
        <v>0.00256373876358573</v>
      </c>
      <c r="G49" s="4" t="n">
        <f aca="false">E49-E48</f>
        <v>0.000462699667977518</v>
      </c>
    </row>
    <row r="50" customFormat="false" ht="15" hidden="false" customHeight="false" outlineLevel="0" collapsed="false">
      <c r="A50" s="2" t="n">
        <v>39448</v>
      </c>
      <c r="B50" s="3" t="n">
        <v>77.0529547198772</v>
      </c>
      <c r="C50" s="3" t="n">
        <v>4704.09090909091</v>
      </c>
      <c r="D50" s="4" t="n">
        <f aca="false">LN(B50)</f>
        <v>4.34449290911492</v>
      </c>
      <c r="E50" s="4" t="n">
        <f aca="false">LN(C50)</f>
        <v>8.4561878153039</v>
      </c>
      <c r="F50" s="4" t="n">
        <f aca="false">D50-D49</f>
        <v>0.00399202126953746</v>
      </c>
      <c r="G50" s="4" t="n">
        <f aca="false">E50-E49</f>
        <v>-0.00263446278600554</v>
      </c>
    </row>
    <row r="51" customFormat="false" ht="15" hidden="false" customHeight="false" outlineLevel="0" collapsed="false">
      <c r="A51" s="2" t="n">
        <v>39479</v>
      </c>
      <c r="B51" s="3" t="n">
        <v>78.1273983115886</v>
      </c>
      <c r="C51" s="3" t="n">
        <v>4672.85714285714</v>
      </c>
      <c r="D51" s="4" t="n">
        <f aca="false">LN(B51)</f>
        <v>4.35834080597371</v>
      </c>
      <c r="E51" s="4" t="n">
        <f aca="false">LN(C51)</f>
        <v>8.44952597147712</v>
      </c>
      <c r="F51" s="4" t="n">
        <f aca="false">D51-D50</f>
        <v>0.0138478968587936</v>
      </c>
      <c r="G51" s="4" t="n">
        <f aca="false">E51-E50</f>
        <v>-0.00666184382678559</v>
      </c>
    </row>
    <row r="52" customFormat="false" ht="15" hidden="false" customHeight="false" outlineLevel="0" collapsed="false">
      <c r="A52" s="2" t="n">
        <v>39508</v>
      </c>
      <c r="B52" s="3" t="n">
        <v>77.897160399079</v>
      </c>
      <c r="C52" s="3" t="n">
        <v>4524.73684210526</v>
      </c>
      <c r="D52" s="4" t="n">
        <f aca="false">LN(B52)</f>
        <v>4.35538950033913</v>
      </c>
      <c r="E52" s="4" t="n">
        <f aca="false">LN(C52)</f>
        <v>8.41731469800205</v>
      </c>
      <c r="F52" s="4" t="n">
        <f aca="false">D52-D51</f>
        <v>-0.00295130563458024</v>
      </c>
      <c r="G52" s="4" t="n">
        <f aca="false">E52-E51</f>
        <v>-0.0322112734750668</v>
      </c>
    </row>
    <row r="53" customFormat="false" ht="15" hidden="false" customHeight="false" outlineLevel="0" collapsed="false">
      <c r="A53" s="2" t="n">
        <v>39539</v>
      </c>
      <c r="B53" s="3" t="n">
        <v>78.0506523407521</v>
      </c>
      <c r="C53" s="3" t="n">
        <v>4274.09090909091</v>
      </c>
      <c r="D53" s="4" t="n">
        <f aca="false">LN(B53)</f>
        <v>4.35735800491181</v>
      </c>
      <c r="E53" s="4" t="n">
        <f aca="false">LN(C53)</f>
        <v>8.36032670591281</v>
      </c>
      <c r="F53" s="4" t="n">
        <f aca="false">D53-D52</f>
        <v>0.00196850457267228</v>
      </c>
      <c r="G53" s="4" t="n">
        <f aca="false">E53-E52</f>
        <v>-0.056987992089244</v>
      </c>
    </row>
    <row r="54" customFormat="false" ht="15" hidden="false" customHeight="false" outlineLevel="0" collapsed="false">
      <c r="A54" s="2" t="n">
        <v>39569</v>
      </c>
      <c r="B54" s="3" t="n">
        <v>78.5111281657713</v>
      </c>
      <c r="C54" s="3" t="n">
        <v>4072.5</v>
      </c>
      <c r="D54" s="4" t="n">
        <f aca="false">LN(B54)</f>
        <v>4.36324037481487</v>
      </c>
      <c r="E54" s="4" t="n">
        <f aca="false">LN(C54)</f>
        <v>8.3120123404762</v>
      </c>
      <c r="F54" s="4" t="n">
        <f aca="false">D54-D53</f>
        <v>0.00588236990306612</v>
      </c>
      <c r="G54" s="4" t="n">
        <f aca="false">E54-E53</f>
        <v>-0.0483143654366067</v>
      </c>
    </row>
    <row r="55" customFormat="false" ht="15" hidden="false" customHeight="false" outlineLevel="0" collapsed="false">
      <c r="A55" s="2" t="n">
        <v>39600</v>
      </c>
      <c r="B55" s="3" t="n">
        <v>78.5111281657713</v>
      </c>
      <c r="C55" s="3" t="n">
        <v>3969</v>
      </c>
      <c r="D55" s="4" t="n">
        <f aca="false">LN(B55)</f>
        <v>4.36324037481487</v>
      </c>
      <c r="E55" s="4" t="n">
        <f aca="false">LN(C55)</f>
        <v>8.28626945278307</v>
      </c>
      <c r="F55" s="4" t="n">
        <f aca="false">D55-D54</f>
        <v>0</v>
      </c>
      <c r="G55" s="4" t="n">
        <f aca="false">E55-E54</f>
        <v>-0.0257428876931343</v>
      </c>
    </row>
    <row r="56" customFormat="false" ht="15" hidden="false" customHeight="false" outlineLevel="0" collapsed="false">
      <c r="A56" s="2" t="n">
        <v>39630</v>
      </c>
      <c r="B56" s="3" t="n">
        <v>78.6646201074444</v>
      </c>
      <c r="C56" s="3" t="n">
        <v>3962.82608695652</v>
      </c>
      <c r="D56" s="4" t="n">
        <f aca="false">LN(B56)</f>
        <v>4.36519350043576</v>
      </c>
      <c r="E56" s="4" t="n">
        <f aca="false">LN(C56)</f>
        <v>8.28471270803787</v>
      </c>
      <c r="F56" s="4" t="n">
        <f aca="false">D56-D55</f>
        <v>0.00195312562088201</v>
      </c>
      <c r="G56" s="4" t="n">
        <f aca="false">E56-E55</f>
        <v>-0.00155674474519252</v>
      </c>
    </row>
    <row r="57" customFormat="false" ht="15" hidden="false" customHeight="false" outlineLevel="0" collapsed="false">
      <c r="A57" s="2" t="n">
        <v>39661</v>
      </c>
      <c r="B57" s="3" t="n">
        <v>79.048349961627</v>
      </c>
      <c r="C57" s="3" t="n">
        <v>3974.5</v>
      </c>
      <c r="D57" s="4" t="n">
        <f aca="false">LN(B57)</f>
        <v>4.37005969008693</v>
      </c>
      <c r="E57" s="4" t="n">
        <f aca="false">LN(C57)</f>
        <v>8.28765423301317</v>
      </c>
      <c r="F57" s="4" t="n">
        <f aca="false">D57-D56</f>
        <v>0.0048661896511728</v>
      </c>
      <c r="G57" s="4" t="n">
        <f aca="false">E57-E56</f>
        <v>0.0029415249752951</v>
      </c>
    </row>
    <row r="58" customFormat="false" ht="15" hidden="false" customHeight="false" outlineLevel="0" collapsed="false">
      <c r="A58" s="2" t="n">
        <v>39692</v>
      </c>
      <c r="B58" s="3" t="n">
        <v>79.2785878741366</v>
      </c>
      <c r="C58" s="3" t="n">
        <v>3986.66666666667</v>
      </c>
      <c r="D58" s="4" t="n">
        <f aca="false">LN(B58)</f>
        <v>4.37296807798288</v>
      </c>
      <c r="E58" s="4" t="n">
        <f aca="false">LN(C58)</f>
        <v>8.29071073883651</v>
      </c>
      <c r="F58" s="4" t="n">
        <f aca="false">D58-D57</f>
        <v>0.00290838789595682</v>
      </c>
      <c r="G58" s="4" t="n">
        <f aca="false">E58-E57</f>
        <v>0.00305650582334494</v>
      </c>
    </row>
    <row r="59" customFormat="false" ht="15" hidden="false" customHeight="false" outlineLevel="0" collapsed="false">
      <c r="A59" s="2" t="n">
        <v>39722</v>
      </c>
      <c r="B59" s="3" t="n">
        <v>81.504221028396</v>
      </c>
      <c r="C59" s="3" t="n">
        <v>4351.95652173913</v>
      </c>
      <c r="D59" s="4" t="n">
        <f aca="false">LN(B59)</f>
        <v>4.40065481066513</v>
      </c>
      <c r="E59" s="4" t="n">
        <f aca="false">LN(C59)</f>
        <v>8.37838079807667</v>
      </c>
      <c r="F59" s="4" t="n">
        <f aca="false">D59-D58</f>
        <v>0.0276867326822456</v>
      </c>
      <c r="G59" s="4" t="n">
        <f aca="false">E59-E58</f>
        <v>0.0876700592401534</v>
      </c>
    </row>
    <row r="60" customFormat="false" ht="15" hidden="false" customHeight="false" outlineLevel="0" collapsed="false">
      <c r="A60" s="2" t="n">
        <v>39753</v>
      </c>
      <c r="B60" s="3" t="n">
        <v>82.4251726784344</v>
      </c>
      <c r="C60" s="3" t="n">
        <v>4799</v>
      </c>
      <c r="D60" s="4" t="n">
        <f aca="false">LN(B60)</f>
        <v>4.41189088393206</v>
      </c>
      <c r="E60" s="4" t="n">
        <f aca="false">LN(C60)</f>
        <v>8.47616284185825</v>
      </c>
      <c r="F60" s="4" t="n">
        <f aca="false">D60-D59</f>
        <v>0.0112360732669261</v>
      </c>
      <c r="G60" s="4" t="n">
        <f aca="false">E60-E59</f>
        <v>0.0977820437815797</v>
      </c>
    </row>
    <row r="61" customFormat="false" ht="15" hidden="false" customHeight="false" outlineLevel="0" collapsed="false">
      <c r="A61" s="2" t="n">
        <v>39783</v>
      </c>
      <c r="B61" s="3" t="n">
        <v>82.1181887950882</v>
      </c>
      <c r="C61" s="3" t="n">
        <v>4874.28571428572</v>
      </c>
      <c r="D61" s="4" t="n">
        <f aca="false">LN(B61)</f>
        <v>4.4081595363192</v>
      </c>
      <c r="E61" s="4" t="n">
        <f aca="false">LN(C61)</f>
        <v>8.4917288525503</v>
      </c>
      <c r="F61" s="4" t="n">
        <f aca="false">D61-D60</f>
        <v>-0.00373134761285776</v>
      </c>
      <c r="G61" s="4" t="n">
        <f aca="false">E61-E60</f>
        <v>0.0155660106920568</v>
      </c>
    </row>
    <row r="62" customFormat="false" ht="15" hidden="false" customHeight="false" outlineLevel="0" collapsed="false">
      <c r="A62" s="2" t="n">
        <v>39814</v>
      </c>
      <c r="B62" s="3" t="n">
        <v>81.8112049117421</v>
      </c>
      <c r="C62" s="3" t="n">
        <v>4978.57142857143</v>
      </c>
      <c r="D62" s="4" t="n">
        <f aca="false">LN(B62)</f>
        <v>4.40441421358904</v>
      </c>
      <c r="E62" s="4" t="n">
        <f aca="false">LN(C62)</f>
        <v>8.51289826713336</v>
      </c>
      <c r="F62" s="4" t="n">
        <f aca="false">D62-D61</f>
        <v>-0.00374532273016204</v>
      </c>
      <c r="G62" s="4" t="n">
        <f aca="false">E62-E61</f>
        <v>0.0211694145830545</v>
      </c>
    </row>
    <row r="63" customFormat="false" ht="15" hidden="false" customHeight="false" outlineLevel="0" collapsed="false">
      <c r="A63" s="2" t="n">
        <v>39845</v>
      </c>
      <c r="B63" s="3" t="n">
        <v>82.1181887950882</v>
      </c>
      <c r="C63" s="3" t="n">
        <v>5085.75</v>
      </c>
      <c r="D63" s="4" t="n">
        <f aca="false">LN(B63)</f>
        <v>4.4081595363192</v>
      </c>
      <c r="E63" s="4" t="n">
        <f aca="false">LN(C63)</f>
        <v>8.53419779023206</v>
      </c>
      <c r="F63" s="4" t="n">
        <f aca="false">D63-D62</f>
        <v>0.00374532273016204</v>
      </c>
      <c r="G63" s="4" t="n">
        <f aca="false">E63-E62</f>
        <v>0.0212995230987048</v>
      </c>
    </row>
    <row r="64" customFormat="false" ht="15" hidden="false" customHeight="false" outlineLevel="0" collapsed="false">
      <c r="A64" s="2" t="n">
        <v>39873</v>
      </c>
      <c r="B64" s="3" t="n">
        <v>82.2716807367613</v>
      </c>
      <c r="C64" s="3" t="n">
        <v>5124.54545454546</v>
      </c>
      <c r="D64" s="4" t="n">
        <f aca="false">LN(B64)</f>
        <v>4.41002695049399</v>
      </c>
      <c r="E64" s="4" t="n">
        <f aca="false">LN(C64)</f>
        <v>8.54179710827725</v>
      </c>
      <c r="F64" s="4" t="n">
        <f aca="false">D64-D63</f>
        <v>0.00186741417479475</v>
      </c>
      <c r="G64" s="4" t="n">
        <f aca="false">E64-E63</f>
        <v>0.00759931804518921</v>
      </c>
    </row>
    <row r="65" customFormat="false" ht="15" hidden="false" customHeight="false" outlineLevel="0" collapsed="false">
      <c r="A65" s="2" t="n">
        <v>39904</v>
      </c>
      <c r="B65" s="3" t="n">
        <v>81.8879508825787</v>
      </c>
      <c r="C65" s="3" t="n">
        <v>5034.5</v>
      </c>
      <c r="D65" s="4" t="n">
        <f aca="false">LN(B65)</f>
        <v>4.405351860165</v>
      </c>
      <c r="E65" s="4" t="n">
        <f aca="false">LN(C65)</f>
        <v>8.52406949535567</v>
      </c>
      <c r="F65" s="4" t="n">
        <f aca="false">D65-D64</f>
        <v>-0.00467509032899383</v>
      </c>
      <c r="G65" s="4" t="n">
        <f aca="false">E65-E64</f>
        <v>-0.0177276129215809</v>
      </c>
    </row>
    <row r="66" customFormat="false" ht="15" hidden="false" customHeight="false" outlineLevel="0" collapsed="false">
      <c r="A66" s="2" t="n">
        <v>39934</v>
      </c>
      <c r="B66" s="3" t="n">
        <v>81.8879508825787</v>
      </c>
      <c r="C66" s="3" t="n">
        <v>5026.84210526316</v>
      </c>
      <c r="D66" s="4" t="n">
        <f aca="false">LN(B66)</f>
        <v>4.405351860165</v>
      </c>
      <c r="E66" s="4" t="n">
        <f aca="false">LN(C66)</f>
        <v>8.52254725386234</v>
      </c>
      <c r="F66" s="4" t="n">
        <f aca="false">D66-D65</f>
        <v>0</v>
      </c>
      <c r="G66" s="4" t="n">
        <f aca="false">E66-E65</f>
        <v>-0.00152224149332802</v>
      </c>
    </row>
    <row r="67" customFormat="false" ht="15" hidden="false" customHeight="false" outlineLevel="0" collapsed="false">
      <c r="A67" s="2" t="n">
        <v>39965</v>
      </c>
      <c r="B67" s="3" t="n">
        <v>81.8879508825787</v>
      </c>
      <c r="C67" s="3" t="n">
        <v>5016.19047619048</v>
      </c>
      <c r="D67" s="4" t="n">
        <f aca="false">LN(B67)</f>
        <v>4.405351860165</v>
      </c>
      <c r="E67" s="4" t="n">
        <f aca="false">LN(C67)</f>
        <v>8.52042605531396</v>
      </c>
      <c r="F67" s="4" t="n">
        <f aca="false">D67-D66</f>
        <v>0</v>
      </c>
      <c r="G67" s="4" t="n">
        <f aca="false">E67-E66</f>
        <v>-0.00212119854838555</v>
      </c>
    </row>
    <row r="68" customFormat="false" ht="15" hidden="false" customHeight="false" outlineLevel="0" collapsed="false">
      <c r="A68" s="2" t="n">
        <v>39995</v>
      </c>
      <c r="B68" s="3" t="n">
        <v>82.1949347659248</v>
      </c>
      <c r="C68" s="3" t="n">
        <v>4998.69565217391</v>
      </c>
      <c r="D68" s="4" t="n">
        <f aca="false">LN(B68)</f>
        <v>4.40909367931099</v>
      </c>
      <c r="E68" s="4" t="n">
        <f aca="false">LN(C68)</f>
        <v>8.51693228781864</v>
      </c>
      <c r="F68" s="4" t="n">
        <f aca="false">D68-D67</f>
        <v>0.00374181914599525</v>
      </c>
      <c r="G68" s="4" t="n">
        <f aca="false">E68-E67</f>
        <v>-0.00349376749532127</v>
      </c>
    </row>
    <row r="69" customFormat="false" ht="15" hidden="false" customHeight="false" outlineLevel="0" collapsed="false">
      <c r="A69" s="2" t="n">
        <v>40026</v>
      </c>
      <c r="B69" s="3" t="n">
        <v>82.1181887950882</v>
      </c>
      <c r="C69" s="3" t="n">
        <v>4944.76190476191</v>
      </c>
      <c r="D69" s="4" t="n">
        <f aca="false">LN(B69)</f>
        <v>4.4081595363192</v>
      </c>
      <c r="E69" s="4" t="n">
        <f aca="false">LN(C69)</f>
        <v>8.50608409421449</v>
      </c>
      <c r="F69" s="4" t="n">
        <f aca="false">D69-D68</f>
        <v>-0.000934142991796172</v>
      </c>
      <c r="G69" s="4" t="n">
        <f aca="false">E69-E68</f>
        <v>-0.0108481936041418</v>
      </c>
    </row>
    <row r="70" customFormat="false" ht="15" hidden="false" customHeight="false" outlineLevel="0" collapsed="false">
      <c r="A70" s="2" t="n">
        <v>40057</v>
      </c>
      <c r="B70" s="3" t="n">
        <v>82.1181887950882</v>
      </c>
      <c r="C70" s="3" t="n">
        <v>4923.80952380952</v>
      </c>
      <c r="D70" s="4" t="n">
        <f aca="false">LN(B70)</f>
        <v>4.4081595363192</v>
      </c>
      <c r="E70" s="4" t="n">
        <f aca="false">LN(C70)</f>
        <v>8.50183780333304</v>
      </c>
      <c r="F70" s="4" t="n">
        <f aca="false">D70-D69</f>
        <v>0</v>
      </c>
      <c r="G70" s="4" t="n">
        <f aca="false">E70-E69</f>
        <v>-0.00424629088145068</v>
      </c>
    </row>
    <row r="71" customFormat="false" ht="15" hidden="false" customHeight="false" outlineLevel="0" collapsed="false">
      <c r="A71" s="2" t="n">
        <v>40087</v>
      </c>
      <c r="B71" s="3" t="n">
        <v>81.9646968534152</v>
      </c>
      <c r="C71" s="3" t="n">
        <v>4870</v>
      </c>
      <c r="D71" s="4" t="n">
        <f aca="false">LN(B71)</f>
        <v>4.40628862838339</v>
      </c>
      <c r="E71" s="4" t="n">
        <f aca="false">LN(C71)</f>
        <v>8.49084921607664</v>
      </c>
      <c r="F71" s="4" t="n">
        <f aca="false">D71-D70</f>
        <v>-0.00187090793581213</v>
      </c>
      <c r="G71" s="4" t="n">
        <f aca="false">E71-E70</f>
        <v>-0.0109885872564082</v>
      </c>
    </row>
    <row r="72" customFormat="false" ht="15" hidden="false" customHeight="false" outlineLevel="0" collapsed="false">
      <c r="A72" s="2" t="n">
        <v>40118</v>
      </c>
      <c r="B72" s="3" t="n">
        <v>81.8879508825787</v>
      </c>
      <c r="C72" s="3" t="n">
        <v>4828.57142857143</v>
      </c>
      <c r="D72" s="4" t="n">
        <f aca="false">LN(B72)</f>
        <v>4.405351860165</v>
      </c>
      <c r="E72" s="4" t="n">
        <f aca="false">LN(C72)</f>
        <v>8.4823059324158</v>
      </c>
      <c r="F72" s="4" t="n">
        <f aca="false">D72-D71</f>
        <v>-0.000936768218386952</v>
      </c>
      <c r="G72" s="4" t="n">
        <f aca="false">E72-E71</f>
        <v>-0.00854328366083834</v>
      </c>
    </row>
    <row r="73" customFormat="false" ht="15" hidden="false" customHeight="false" outlineLevel="0" collapsed="false">
      <c r="A73" s="2" t="n">
        <v>40148</v>
      </c>
      <c r="B73" s="3" t="n">
        <v>81.1972371450499</v>
      </c>
      <c r="C73" s="3" t="n">
        <v>4649.04761904762</v>
      </c>
      <c r="D73" s="4" t="n">
        <f aca="false">LN(B73)</f>
        <v>4.39688122128149</v>
      </c>
      <c r="E73" s="4" t="n">
        <f aca="false">LN(C73)</f>
        <v>8.44441766449629</v>
      </c>
      <c r="F73" s="4" t="n">
        <f aca="false">D73-D72</f>
        <v>-0.00847063888350874</v>
      </c>
      <c r="G73" s="4" t="n">
        <f aca="false">E73-E72</f>
        <v>-0.0378882679195023</v>
      </c>
    </row>
    <row r="74" customFormat="false" ht="15" hidden="false" customHeight="false" outlineLevel="0" collapsed="false">
      <c r="A74" s="2" t="n">
        <v>40179</v>
      </c>
      <c r="B74" s="3" t="n">
        <v>81.3507290867229</v>
      </c>
      <c r="C74" s="3" t="n">
        <v>4655.5</v>
      </c>
      <c r="D74" s="4" t="n">
        <f aca="false">LN(B74)</f>
        <v>4.39876979596936</v>
      </c>
      <c r="E74" s="4" t="n">
        <f aca="false">LN(C74)</f>
        <v>8.44580459532858</v>
      </c>
      <c r="F74" s="4" t="n">
        <f aca="false">D74-D73</f>
        <v>0.00188857468786807</v>
      </c>
      <c r="G74" s="4" t="n">
        <f aca="false">E74-E73</f>
        <v>0.00138693083228958</v>
      </c>
    </row>
    <row r="75" customFormat="false" ht="15" hidden="false" customHeight="false" outlineLevel="0" collapsed="false">
      <c r="A75" s="2" t="n">
        <v>40210</v>
      </c>
      <c r="B75" s="3" t="n">
        <v>81.7344589409056</v>
      </c>
      <c r="C75" s="3" t="n">
        <v>4694.75</v>
      </c>
      <c r="D75" s="4" t="n">
        <f aca="false">LN(B75)</f>
        <v>4.40347568700677</v>
      </c>
      <c r="E75" s="4" t="n">
        <f aca="false">LN(C75)</f>
        <v>8.45420014208832</v>
      </c>
      <c r="F75" s="4" t="n">
        <f aca="false">D75-D74</f>
        <v>0.00470589103741315</v>
      </c>
      <c r="G75" s="4" t="n">
        <f aca="false">E75-E74</f>
        <v>0.00839554675973275</v>
      </c>
    </row>
    <row r="76" customFormat="false" ht="15" hidden="false" customHeight="false" outlineLevel="0" collapsed="false">
      <c r="A76" s="2" t="n">
        <v>40238</v>
      </c>
      <c r="B76" s="3" t="n">
        <v>81.8112049117421</v>
      </c>
      <c r="C76" s="3" t="n">
        <v>4693.90909090909</v>
      </c>
      <c r="D76" s="4" t="n">
        <f aca="false">LN(B76)</f>
        <v>4.40441421358904</v>
      </c>
      <c r="E76" s="4" t="n">
        <f aca="false">LN(C76)</f>
        <v>8.45402100913972</v>
      </c>
      <c r="F76" s="4" t="n">
        <f aca="false">D76-D75</f>
        <v>0.000938526582264565</v>
      </c>
      <c r="G76" s="4" t="n">
        <f aca="false">E76-E75</f>
        <v>-0.000179132948597172</v>
      </c>
    </row>
    <row r="77" customFormat="false" ht="15" hidden="false" customHeight="false" outlineLevel="0" collapsed="false">
      <c r="A77" s="2" t="n">
        <v>40269</v>
      </c>
      <c r="B77" s="3" t="n">
        <v>82.0414428242517</v>
      </c>
      <c r="C77" s="3" t="n">
        <v>4700.1</v>
      </c>
      <c r="D77" s="4" t="n">
        <f aca="false">LN(B77)</f>
        <v>4.40722451988829</v>
      </c>
      <c r="E77" s="4" t="n">
        <f aca="false">LN(C77)</f>
        <v>8.45533906406755</v>
      </c>
      <c r="F77" s="4" t="n">
        <f aca="false">D77-D76</f>
        <v>0.00281030629925549</v>
      </c>
      <c r="G77" s="4" t="n">
        <f aca="false">E77-E76</f>
        <v>0.00131805492783244</v>
      </c>
    </row>
    <row r="78" customFormat="false" ht="15" hidden="false" customHeight="false" outlineLevel="0" collapsed="false">
      <c r="A78" s="2" t="n">
        <v>40299</v>
      </c>
      <c r="B78" s="3" t="n">
        <v>82.4251726784344</v>
      </c>
      <c r="C78" s="3" t="n">
        <v>4726.95238095238</v>
      </c>
      <c r="D78" s="4" t="n">
        <f aca="false">LN(B78)</f>
        <v>4.41189088393206</v>
      </c>
      <c r="E78" s="4" t="n">
        <f aca="false">LN(C78)</f>
        <v>8.46103595690124</v>
      </c>
      <c r="F78" s="4" t="n">
        <f aca="false">D78-D77</f>
        <v>0.0046663640437643</v>
      </c>
      <c r="G78" s="4" t="n">
        <f aca="false">E78-E77</f>
        <v>0.00569689283368646</v>
      </c>
    </row>
    <row r="79" customFormat="false" ht="15" hidden="false" customHeight="false" outlineLevel="0" collapsed="false">
      <c r="A79" s="2" t="n">
        <v>40330</v>
      </c>
      <c r="B79" s="3" t="n">
        <v>82.9623944742901</v>
      </c>
      <c r="C79" s="3" t="n">
        <v>4752.09090909091</v>
      </c>
      <c r="D79" s="4" t="n">
        <f aca="false">LN(B79)</f>
        <v>4.41838742650246</v>
      </c>
      <c r="E79" s="4" t="n">
        <f aca="false">LN(C79)</f>
        <v>8.46633999156044</v>
      </c>
      <c r="F79" s="4" t="n">
        <f aca="false">D79-D78</f>
        <v>0.00649654257039867</v>
      </c>
      <c r="G79" s="4" t="n">
        <f aca="false">E79-E78</f>
        <v>0.00530403465920237</v>
      </c>
    </row>
    <row r="80" customFormat="false" ht="15" hidden="false" customHeight="false" outlineLevel="0" collapsed="false">
      <c r="A80" s="2" t="n">
        <v>40360</v>
      </c>
      <c r="B80" s="3" t="n">
        <v>83.4228702993093</v>
      </c>
      <c r="C80" s="3" t="n">
        <v>4757</v>
      </c>
      <c r="D80" s="4" t="n">
        <f aca="false">LN(B80)</f>
        <v>4.42392249598446</v>
      </c>
      <c r="E80" s="4" t="n">
        <f aca="false">LN(C80)</f>
        <v>8.46737249643228</v>
      </c>
      <c r="F80" s="4" t="n">
        <f aca="false">D80-D79</f>
        <v>0.00553506948200067</v>
      </c>
      <c r="G80" s="4" t="n">
        <f aca="false">E80-E79</f>
        <v>0.0010325048718407</v>
      </c>
    </row>
    <row r="81" customFormat="false" ht="15" hidden="false" customHeight="false" outlineLevel="0" collapsed="false">
      <c r="A81" s="2" t="n">
        <v>40391</v>
      </c>
      <c r="B81" s="3" t="n">
        <v>83.5763622409824</v>
      </c>
      <c r="C81" s="3" t="n">
        <v>4755.77272727273</v>
      </c>
      <c r="D81" s="4" t="n">
        <f aca="false">LN(B81)</f>
        <v>4.42576073179621</v>
      </c>
      <c r="E81" s="4" t="n">
        <f aca="false">LN(C81)</f>
        <v>8.46711447014084</v>
      </c>
      <c r="F81" s="4" t="n">
        <f aca="false">D81-D80</f>
        <v>0.00183823581175169</v>
      </c>
      <c r="G81" s="4" t="n">
        <f aca="false">E81-E80</f>
        <v>-0.000258026291442448</v>
      </c>
    </row>
    <row r="82" customFormat="false" ht="15" hidden="false" customHeight="false" outlineLevel="0" collapsed="false">
      <c r="A82" s="2" t="n">
        <v>40422</v>
      </c>
      <c r="B82" s="3" t="n">
        <v>83.4228702993093</v>
      </c>
      <c r="C82" s="3" t="n">
        <v>4783.47619047619</v>
      </c>
      <c r="D82" s="4" t="n">
        <f aca="false">LN(B82)</f>
        <v>4.42392249598446</v>
      </c>
      <c r="E82" s="4" t="n">
        <f aca="false">LN(C82)</f>
        <v>8.47292279767847</v>
      </c>
      <c r="F82" s="4" t="n">
        <f aca="false">D82-D81</f>
        <v>-0.00183823581175169</v>
      </c>
      <c r="G82" s="4" t="n">
        <f aca="false">E82-E81</f>
        <v>0.00580832753762905</v>
      </c>
    </row>
    <row r="83" customFormat="false" ht="15" hidden="false" customHeight="false" outlineLevel="0" collapsed="false">
      <c r="A83" s="2" t="n">
        <v>40452</v>
      </c>
      <c r="B83" s="3" t="n">
        <v>83.8833461243285</v>
      </c>
      <c r="C83" s="3" t="n">
        <v>4917.14285714286</v>
      </c>
      <c r="D83" s="4" t="n">
        <f aca="false">LN(B83)</f>
        <v>4.42942709703979</v>
      </c>
      <c r="E83" s="4" t="n">
        <f aca="false">LN(C83)</f>
        <v>8.50048292071022</v>
      </c>
      <c r="F83" s="4" t="n">
        <f aca="false">D83-D82</f>
        <v>0.00550460105532924</v>
      </c>
      <c r="G83" s="4" t="n">
        <f aca="false">E83-E82</f>
        <v>0.0275601230317495</v>
      </c>
    </row>
    <row r="84" customFormat="false" ht="15" hidden="false" customHeight="false" outlineLevel="0" collapsed="false">
      <c r="A84" s="2" t="n">
        <v>40483</v>
      </c>
      <c r="B84" s="3" t="n">
        <v>84.5740598618573</v>
      </c>
      <c r="C84" s="3" t="n">
        <v>4796.63636363636</v>
      </c>
      <c r="D84" s="4" t="n">
        <f aca="false">LN(B84)</f>
        <v>4.43762759857611</v>
      </c>
      <c r="E84" s="4" t="n">
        <f aca="false">LN(C84)</f>
        <v>8.47567019367487</v>
      </c>
      <c r="F84" s="4" t="n">
        <f aca="false">D84-D83</f>
        <v>0.00820050153632135</v>
      </c>
      <c r="G84" s="4" t="n">
        <f aca="false">E84-E83</f>
        <v>-0.0248127270353482</v>
      </c>
    </row>
    <row r="85" customFormat="false" ht="15" hidden="false" customHeight="false" outlineLevel="0" collapsed="false">
      <c r="A85" s="2" t="n">
        <v>40513</v>
      </c>
      <c r="B85" s="3" t="n">
        <v>84.4973138910207</v>
      </c>
      <c r="C85" s="3" t="n">
        <v>4570.22727272727</v>
      </c>
      <c r="D85" s="4" t="n">
        <f aca="false">LN(B85)</f>
        <v>4.43671974558593</v>
      </c>
      <c r="E85" s="4" t="n">
        <f aca="false">LN(C85)</f>
        <v>8.42731821410185</v>
      </c>
      <c r="F85" s="4" t="n">
        <f aca="false">D85-D84</f>
        <v>-0.000907852990179592</v>
      </c>
      <c r="G85" s="4" t="n">
        <f aca="false">E85-E84</f>
        <v>-0.0483519795730167</v>
      </c>
    </row>
    <row r="86" customFormat="false" ht="15" hidden="false" customHeight="false" outlineLevel="0" collapsed="false">
      <c r="A86" s="2" t="n">
        <v>40544</v>
      </c>
      <c r="B86" s="3" t="n">
        <v>85.0345356868764</v>
      </c>
      <c r="C86" s="3" t="n">
        <v>4592.42857142857</v>
      </c>
      <c r="D86" s="4" t="n">
        <f aca="false">LN(B86)</f>
        <v>4.44305747617048</v>
      </c>
      <c r="E86" s="4" t="n">
        <f aca="false">LN(C86)</f>
        <v>8.43216426365936</v>
      </c>
      <c r="F86" s="4" t="n">
        <f aca="false">D86-D85</f>
        <v>0.00633773058454867</v>
      </c>
      <c r="G86" s="4" t="n">
        <f aca="false">E86-E85</f>
        <v>0.00484604955750712</v>
      </c>
    </row>
    <row r="87" customFormat="false" ht="15" hidden="false" customHeight="false" outlineLevel="0" collapsed="false">
      <c r="A87" s="2" t="n">
        <v>40575</v>
      </c>
      <c r="B87" s="3" t="n">
        <v>85.4182655410591</v>
      </c>
      <c r="C87" s="3" t="n">
        <v>4587.4</v>
      </c>
      <c r="D87" s="4" t="n">
        <f aca="false">LN(B87)</f>
        <v>4.44755996013879</v>
      </c>
      <c r="E87" s="4" t="n">
        <f aca="false">LN(C87)</f>
        <v>8.43106869376012</v>
      </c>
      <c r="F87" s="4" t="n">
        <f aca="false">D87-D86</f>
        <v>0.00450248396831565</v>
      </c>
      <c r="G87" s="4" t="n">
        <f aca="false">E87-E86</f>
        <v>-0.00109556989924364</v>
      </c>
    </row>
    <row r="88" customFormat="false" ht="15" hidden="false" customHeight="false" outlineLevel="0" collapsed="false">
      <c r="A88" s="2" t="n">
        <v>40603</v>
      </c>
      <c r="B88" s="3" t="n">
        <v>85.5717574827322</v>
      </c>
      <c r="C88" s="3" t="n">
        <v>4323.09090909091</v>
      </c>
      <c r="D88" s="4" t="n">
        <f aca="false">LN(B88)</f>
        <v>4.44935529275747</v>
      </c>
      <c r="E88" s="4" t="n">
        <f aca="false">LN(C88)</f>
        <v>8.37172591361398</v>
      </c>
      <c r="F88" s="4" t="n">
        <f aca="false">D88-D87</f>
        <v>0.00179533261867437</v>
      </c>
      <c r="G88" s="4" t="n">
        <f aca="false">E88-E87</f>
        <v>-0.0593427801461388</v>
      </c>
    </row>
    <row r="89" customFormat="false" ht="15" hidden="false" customHeight="false" outlineLevel="0" collapsed="false">
      <c r="A89" s="2" t="n">
        <v>40634</v>
      </c>
      <c r="B89" s="3" t="n">
        <v>84.8810437452034</v>
      </c>
      <c r="C89" s="3" t="n">
        <v>4051.1052631579</v>
      </c>
      <c r="D89" s="4" t="n">
        <f aca="false">LN(B89)</f>
        <v>4.44125079094553</v>
      </c>
      <c r="E89" s="4" t="n">
        <f aca="false">LN(C89)</f>
        <v>8.30674502735236</v>
      </c>
      <c r="F89" s="4" t="n">
        <f aca="false">D89-D88</f>
        <v>-0.008104501811939</v>
      </c>
      <c r="G89" s="4" t="n">
        <f aca="false">E89-E88</f>
        <v>-0.0649808862616155</v>
      </c>
    </row>
    <row r="90" customFormat="false" ht="15" hidden="false" customHeight="false" outlineLevel="0" collapsed="false">
      <c r="A90" s="2" t="n">
        <v>40664</v>
      </c>
      <c r="B90" s="3" t="n">
        <v>84.9577897160399</v>
      </c>
      <c r="C90" s="3" t="n">
        <v>3994.33333333333</v>
      </c>
      <c r="D90" s="4" t="n">
        <f aca="false">LN(B90)</f>
        <v>4.44215454157188</v>
      </c>
      <c r="E90" s="4" t="n">
        <f aca="false">LN(C90)</f>
        <v>8.29263196901441</v>
      </c>
      <c r="F90" s="4" t="n">
        <f aca="false">D90-D89</f>
        <v>0.000903750626356725</v>
      </c>
      <c r="G90" s="4" t="n">
        <f aca="false">E90-E89</f>
        <v>-0.014113058337955</v>
      </c>
    </row>
    <row r="91" customFormat="false" ht="15" hidden="false" customHeight="false" outlineLevel="0" collapsed="false">
      <c r="A91" s="2" t="n">
        <v>40695</v>
      </c>
      <c r="B91" s="3" t="n">
        <v>86.2624712202609</v>
      </c>
      <c r="C91" s="3" t="n">
        <v>3994.95454545455</v>
      </c>
      <c r="D91" s="4" t="n">
        <f aca="false">LN(B91)</f>
        <v>4.45739463931688</v>
      </c>
      <c r="E91" s="4" t="n">
        <f aca="false">LN(C91)</f>
        <v>8.29278748027696</v>
      </c>
      <c r="F91" s="4" t="n">
        <f aca="false">D91-D90</f>
        <v>0.015240097745</v>
      </c>
      <c r="G91" s="4" t="n">
        <f aca="false">E91-E90</f>
        <v>0.000155511262553532</v>
      </c>
    </row>
    <row r="92" customFormat="false" ht="15" hidden="false" customHeight="false" outlineLevel="0" collapsed="false">
      <c r="A92" s="2" t="n">
        <v>40725</v>
      </c>
      <c r="B92" s="3" t="n">
        <v>86.1857252494244</v>
      </c>
      <c r="C92" s="3" t="n">
        <v>3926.04761904762</v>
      </c>
      <c r="D92" s="4" t="n">
        <f aca="false">LN(B92)</f>
        <v>4.45650456360169</v>
      </c>
      <c r="E92" s="4" t="n">
        <f aca="false">LN(C92)</f>
        <v>8.27538850391405</v>
      </c>
      <c r="F92" s="4" t="n">
        <f aca="false">D92-D91</f>
        <v>-0.000890075715193284</v>
      </c>
      <c r="G92" s="4" t="n">
        <f aca="false">E92-E91</f>
        <v>-0.0173989763629088</v>
      </c>
    </row>
    <row r="93" customFormat="false" ht="15" hidden="false" customHeight="false" outlineLevel="0" collapsed="false">
      <c r="A93" s="2" t="n">
        <v>40756</v>
      </c>
      <c r="B93" s="3" t="n">
        <v>85.8787413660783</v>
      </c>
      <c r="C93" s="3" t="n">
        <v>3873.04545454546</v>
      </c>
      <c r="D93" s="4" t="n">
        <f aca="false">LN(B93)</f>
        <v>4.45293631717517</v>
      </c>
      <c r="E93" s="4" t="n">
        <f aca="false">LN(C93)</f>
        <v>8.26179641570859</v>
      </c>
      <c r="F93" s="4" t="n">
        <f aca="false">D93-D92</f>
        <v>-0.00356824642651787</v>
      </c>
      <c r="G93" s="4" t="n">
        <f aca="false">E93-E92</f>
        <v>-0.0135920882054634</v>
      </c>
    </row>
    <row r="94" customFormat="false" ht="15" hidden="false" customHeight="false" outlineLevel="0" collapsed="false">
      <c r="A94" s="2" t="n">
        <v>40787</v>
      </c>
      <c r="B94" s="3" t="n">
        <v>86.1089792785879</v>
      </c>
      <c r="C94" s="3" t="n">
        <v>3996.57142857143</v>
      </c>
      <c r="D94" s="4" t="n">
        <f aca="false">LN(B94)</f>
        <v>4.45561369494589</v>
      </c>
      <c r="E94" s="4" t="n">
        <f aca="false">LN(C94)</f>
        <v>8.2931921296879</v>
      </c>
      <c r="F94" s="4" t="n">
        <f aca="false">D94-D93</f>
        <v>0.00267737777071631</v>
      </c>
      <c r="G94" s="4" t="n">
        <f aca="false">E94-E93</f>
        <v>0.0313957139793111</v>
      </c>
    </row>
    <row r="95" customFormat="false" ht="15" hidden="false" customHeight="false" outlineLevel="0" collapsed="false">
      <c r="A95" s="2" t="n">
        <v>40817</v>
      </c>
      <c r="B95" s="3" t="n">
        <v>86.6462010744436</v>
      </c>
      <c r="C95" s="3" t="n">
        <v>4168.42857142857</v>
      </c>
      <c r="D95" s="4" t="n">
        <f aca="false">LN(B95)</f>
        <v>4.46183317301291</v>
      </c>
      <c r="E95" s="4" t="n">
        <f aca="false">LN(C95)</f>
        <v>8.33529440238625</v>
      </c>
      <c r="F95" s="4" t="n">
        <f aca="false">D95-D94</f>
        <v>0.00621947806702039</v>
      </c>
      <c r="G95" s="4" t="n">
        <f aca="false">E95-E94</f>
        <v>0.0421022726983544</v>
      </c>
    </row>
    <row r="96" customFormat="false" ht="15" hidden="false" customHeight="false" outlineLevel="0" collapsed="false">
      <c r="A96" s="2" t="n">
        <v>40848</v>
      </c>
      <c r="B96" s="3" t="n">
        <v>87.567152724482</v>
      </c>
      <c r="C96" s="3" t="n">
        <v>4309</v>
      </c>
      <c r="D96" s="4" t="n">
        <f aca="false">LN(B96)</f>
        <v>4.47240595872532</v>
      </c>
      <c r="E96" s="4" t="n">
        <f aca="false">LN(C96)</f>
        <v>8.36846113761584</v>
      </c>
      <c r="F96" s="4" t="n">
        <f aca="false">D96-D95</f>
        <v>0.0105727857124132</v>
      </c>
      <c r="G96" s="4" t="n">
        <f aca="false">E96-E95</f>
        <v>0.0331667352295852</v>
      </c>
    </row>
    <row r="97" customFormat="false" ht="15" hidden="false" customHeight="false" outlineLevel="0" collapsed="false">
      <c r="A97" s="2" t="n">
        <v>40878</v>
      </c>
      <c r="B97" s="3" t="n">
        <v>88.6415963161934</v>
      </c>
      <c r="C97" s="3" t="n">
        <v>4431.66666666667</v>
      </c>
      <c r="D97" s="4" t="n">
        <f aca="false">LN(B97)</f>
        <v>4.48460123181914</v>
      </c>
      <c r="E97" s="4" t="n">
        <f aca="false">LN(C97)</f>
        <v>8.39653101500901</v>
      </c>
      <c r="F97" s="4" t="n">
        <f aca="false">D97-D96</f>
        <v>0.0121952730938188</v>
      </c>
      <c r="G97" s="4" t="n">
        <f aca="false">E97-E96</f>
        <v>0.0280698773931718</v>
      </c>
    </row>
    <row r="98" customFormat="false" ht="15" hidden="false" customHeight="false" outlineLevel="0" collapsed="false">
      <c r="A98" s="2" t="n">
        <v>40909</v>
      </c>
      <c r="B98" s="3" t="n">
        <v>89.6392939370683</v>
      </c>
      <c r="C98" s="3" t="n">
        <v>4596.54545454546</v>
      </c>
      <c r="D98" s="4" t="n">
        <f aca="false">LN(B98)</f>
        <v>4.49579377225142</v>
      </c>
      <c r="E98" s="4" t="n">
        <f aca="false">LN(C98)</f>
        <v>8.43306031220204</v>
      </c>
      <c r="F98" s="4" t="n">
        <f aca="false">D98-D97</f>
        <v>0.0111925404322779</v>
      </c>
      <c r="G98" s="4" t="n">
        <f aca="false">E98-E97</f>
        <v>0.0365292971930273</v>
      </c>
    </row>
    <row r="99" customFormat="false" ht="15" hidden="false" customHeight="false" outlineLevel="0" collapsed="false">
      <c r="A99" s="2" t="n">
        <v>40940</v>
      </c>
      <c r="B99" s="3" t="n">
        <v>90.7904834996163</v>
      </c>
      <c r="C99" s="3" t="n">
        <v>4455.28571428572</v>
      </c>
      <c r="D99" s="4" t="n">
        <f aca="false">LN(B99)</f>
        <v>4.50855447284163</v>
      </c>
      <c r="E99" s="4" t="n">
        <f aca="false">LN(C99)</f>
        <v>8.40184647124592</v>
      </c>
      <c r="F99" s="4" t="n">
        <f aca="false">D99-D98</f>
        <v>0.0127607005902144</v>
      </c>
      <c r="G99" s="4" t="n">
        <f aca="false">E99-E98</f>
        <v>-0.03121384095612</v>
      </c>
    </row>
    <row r="100" customFormat="false" ht="15" hidden="false" customHeight="false" outlineLevel="0" collapsed="false">
      <c r="A100" s="2" t="n">
        <v>40969</v>
      </c>
      <c r="B100" s="3" t="n">
        <v>90.6369915579432</v>
      </c>
      <c r="C100" s="3" t="n">
        <v>4284.04761904762</v>
      </c>
      <c r="D100" s="4" t="n">
        <f aca="false">LN(B100)</f>
        <v>4.50686242506061</v>
      </c>
      <c r="E100" s="4" t="n">
        <f aca="false">LN(C100)</f>
        <v>8.3626535470632</v>
      </c>
      <c r="F100" s="4" t="n">
        <f aca="false">D100-D99</f>
        <v>-0.00169204778102472</v>
      </c>
      <c r="G100" s="4" t="n">
        <f aca="false">E100-E99</f>
        <v>-0.0391929241827214</v>
      </c>
    </row>
    <row r="101" customFormat="false" ht="15" hidden="false" customHeight="false" outlineLevel="0" collapsed="false">
      <c r="A101" s="2" t="n">
        <v>41000</v>
      </c>
      <c r="B101" s="3" t="n">
        <v>90.8672294704528</v>
      </c>
      <c r="C101" s="3" t="n">
        <v>4305.47368421053</v>
      </c>
      <c r="D101" s="4" t="n">
        <f aca="false">LN(B101)</f>
        <v>4.5093994243072</v>
      </c>
      <c r="E101" s="4" t="n">
        <f aca="false">LN(C101)</f>
        <v>8.36764244198435</v>
      </c>
      <c r="F101" s="4" t="n">
        <f aca="false">D101-D100</f>
        <v>0.00253699924658957</v>
      </c>
      <c r="G101" s="4" t="n">
        <f aca="false">E101-E100</f>
        <v>0.00498889492114962</v>
      </c>
    </row>
    <row r="102" customFormat="false" ht="15" hidden="false" customHeight="false" outlineLevel="0" collapsed="false">
      <c r="A102" s="2" t="n">
        <v>41030</v>
      </c>
      <c r="B102" s="3" t="n">
        <v>91.1742133537989</v>
      </c>
      <c r="C102" s="3" t="n">
        <v>4369.1</v>
      </c>
      <c r="D102" s="4" t="n">
        <f aca="false">LN(B102)</f>
        <v>4.51277210878584</v>
      </c>
      <c r="E102" s="4" t="n">
        <f aca="false">LN(C102)</f>
        <v>8.38231231722234</v>
      </c>
      <c r="F102" s="4" t="n">
        <f aca="false">D102-D101</f>
        <v>0.00337268447863881</v>
      </c>
      <c r="G102" s="4" t="n">
        <f aca="false">E102-E101</f>
        <v>0.0146698752379972</v>
      </c>
    </row>
    <row r="103" customFormat="false" ht="15" hidden="false" customHeight="false" outlineLevel="0" collapsed="false">
      <c r="A103" s="2" t="n">
        <v>41061</v>
      </c>
      <c r="B103" s="3" t="n">
        <v>91.5579432079816</v>
      </c>
      <c r="C103" s="3" t="n">
        <v>4529.9</v>
      </c>
      <c r="D103" s="4" t="n">
        <f aca="false">LN(B103)</f>
        <v>4.51697203096116</v>
      </c>
      <c r="E103" s="4" t="n">
        <f aca="false">LN(C103)</f>
        <v>8.41845514317823</v>
      </c>
      <c r="F103" s="4" t="n">
        <f aca="false">D103-D102</f>
        <v>0.00419992217532617</v>
      </c>
      <c r="G103" s="4" t="n">
        <f aca="false">E103-E102</f>
        <v>0.0361428259558902</v>
      </c>
    </row>
    <row r="104" customFormat="false" ht="15" hidden="false" customHeight="false" outlineLevel="0" collapsed="false">
      <c r="A104" s="2" t="n">
        <v>41091</v>
      </c>
      <c r="B104" s="3" t="n">
        <v>91.481197237145</v>
      </c>
      <c r="C104" s="3" t="n">
        <v>4438</v>
      </c>
      <c r="D104" s="4" t="n">
        <f aca="false">LN(B104)</f>
        <v>4.51613345648854</v>
      </c>
      <c r="E104" s="4" t="n">
        <f aca="false">LN(C104)</f>
        <v>8.39795910349254</v>
      </c>
      <c r="F104" s="4" t="n">
        <f aca="false">D104-D103</f>
        <v>-0.000838574472621367</v>
      </c>
      <c r="G104" s="4" t="n">
        <f aca="false">E104-E103</f>
        <v>-0.0204960396856944</v>
      </c>
    </row>
    <row r="105" customFormat="false" ht="15" hidden="false" customHeight="false" outlineLevel="0" collapsed="false">
      <c r="A105" s="2" t="n">
        <v>41122</v>
      </c>
      <c r="B105" s="3" t="n">
        <v>91.4044512663085</v>
      </c>
      <c r="C105" s="3" t="n">
        <v>4411.45078947369</v>
      </c>
      <c r="D105" s="4" t="n">
        <f aca="false">LN(B105)</f>
        <v>4.51529417821855</v>
      </c>
      <c r="E105" s="4" t="n">
        <f aca="false">LN(C105)</f>
        <v>8.39195889154467</v>
      </c>
      <c r="F105" s="4" t="n">
        <f aca="false">D105-D104</f>
        <v>-0.000839278269994637</v>
      </c>
      <c r="G105" s="4" t="n">
        <f aca="false">E105-E104</f>
        <v>-0.00600021194786571</v>
      </c>
    </row>
    <row r="106" customFormat="false" ht="15" hidden="false" customHeight="false" outlineLevel="0" collapsed="false">
      <c r="A106" s="2" t="n">
        <v>41153</v>
      </c>
      <c r="B106" s="3" t="n">
        <v>91.481197237145</v>
      </c>
      <c r="C106" s="3" t="n">
        <v>4424.586</v>
      </c>
      <c r="D106" s="4" t="n">
        <f aca="false">LN(B106)</f>
        <v>4.51613345648854</v>
      </c>
      <c r="E106" s="4" t="n">
        <f aca="false">LN(C106)</f>
        <v>8.39493199374305</v>
      </c>
      <c r="F106" s="4" t="n">
        <f aca="false">D106-D105</f>
        <v>0.000839278269994637</v>
      </c>
      <c r="G106" s="4" t="n">
        <f aca="false">E106-E105</f>
        <v>0.00297310219837676</v>
      </c>
    </row>
    <row r="107" customFormat="false" ht="15" hidden="false" customHeight="false" outlineLevel="0" collapsed="false">
      <c r="A107" s="2" t="n">
        <v>41183</v>
      </c>
      <c r="B107" s="3" t="n">
        <v>92.0184190330008</v>
      </c>
      <c r="C107" s="3" t="n">
        <v>4455.01239130435</v>
      </c>
      <c r="D107" s="4" t="n">
        <f aca="false">LN(B107)</f>
        <v>4.52198876389076</v>
      </c>
      <c r="E107" s="4" t="n">
        <f aca="false">LN(C107)</f>
        <v>8.40178512133861</v>
      </c>
      <c r="F107" s="4" t="n">
        <f aca="false">D107-D106</f>
        <v>0.00585530740221962</v>
      </c>
      <c r="G107" s="4" t="n">
        <f aca="false">E107-E106</f>
        <v>0.00685312759555501</v>
      </c>
    </row>
    <row r="108" customFormat="false" ht="15" hidden="false" customHeight="false" outlineLevel="0" collapsed="false">
      <c r="A108" s="2" t="n">
        <v>41214</v>
      </c>
      <c r="B108" s="3" t="n">
        <v>92.0951650038373</v>
      </c>
      <c r="C108" s="3" t="n">
        <v>4460.15204545455</v>
      </c>
      <c r="D108" s="4" t="n">
        <f aca="false">LN(B108)</f>
        <v>4.52282244463934</v>
      </c>
      <c r="E108" s="4" t="n">
        <f aca="false">LN(C108)</f>
        <v>8.40293813534212</v>
      </c>
      <c r="F108" s="4" t="n">
        <f aca="false">D108-D107</f>
        <v>0.000833680748576704</v>
      </c>
      <c r="G108" s="4" t="n">
        <f aca="false">E108-E107</f>
        <v>0.00115301400351342</v>
      </c>
    </row>
    <row r="109" customFormat="false" ht="15" hidden="false" customHeight="false" outlineLevel="0" collapsed="false">
      <c r="A109" s="2" t="n">
        <v>41244</v>
      </c>
      <c r="B109" s="3" t="n">
        <v>91.8649270913277</v>
      </c>
      <c r="C109" s="3" t="n">
        <v>4288.76888888889</v>
      </c>
      <c r="D109" s="4" t="n">
        <f aca="false">LN(B109)</f>
        <v>4.52031931442122</v>
      </c>
      <c r="E109" s="4" t="n">
        <f aca="false">LN(C109)</f>
        <v>8.36375499845067</v>
      </c>
      <c r="F109" s="4" t="n">
        <f aca="false">D109-D108</f>
        <v>-0.00250313021811799</v>
      </c>
      <c r="G109" s="4" t="n">
        <f aca="false">E109-E108</f>
        <v>-0.0391831368914541</v>
      </c>
    </row>
    <row r="110" customFormat="false" ht="15" hidden="false" customHeight="false" outlineLevel="0" collapsed="false">
      <c r="A110" s="2" t="n">
        <v>41275</v>
      </c>
      <c r="B110" s="3" t="n">
        <v>91.481197237145</v>
      </c>
      <c r="C110" s="3" t="n">
        <v>4187.54090909091</v>
      </c>
      <c r="D110" s="4" t="n">
        <f aca="false">LN(B110)</f>
        <v>4.51613345648854</v>
      </c>
      <c r="E110" s="4" t="n">
        <f aca="false">LN(C110)</f>
        <v>8.33986894542075</v>
      </c>
      <c r="F110" s="4" t="n">
        <f aca="false">D110-D109</f>
        <v>-0.00418585793267834</v>
      </c>
      <c r="G110" s="4" t="n">
        <f aca="false">E110-E109</f>
        <v>-0.0238860530299192</v>
      </c>
    </row>
    <row r="111" customFormat="false" ht="15" hidden="false" customHeight="false" outlineLevel="0" collapsed="false">
      <c r="A111" s="2" t="n">
        <v>41306</v>
      </c>
      <c r="B111" s="3" t="n">
        <v>90.5602455871067</v>
      </c>
      <c r="C111" s="3" t="n">
        <v>4024.55575</v>
      </c>
      <c r="D111" s="4" t="n">
        <f aca="false">LN(B111)</f>
        <v>4.50601532632296</v>
      </c>
      <c r="E111" s="4" t="n">
        <f aca="false">LN(C111)</f>
        <v>8.30016981109035</v>
      </c>
      <c r="F111" s="4" t="n">
        <f aca="false">D111-D110</f>
        <v>-0.0101181301655844</v>
      </c>
      <c r="G111" s="4" t="n">
        <f aca="false">E111-E110</f>
        <v>-0.0396991343303998</v>
      </c>
    </row>
    <row r="112" customFormat="false" ht="15" hidden="false" customHeight="false" outlineLevel="0" collapsed="false">
      <c r="A112" s="2" t="n">
        <v>41334</v>
      </c>
      <c r="B112" s="3" t="n">
        <v>90.0997697620875</v>
      </c>
      <c r="C112" s="3" t="n">
        <v>4002.12611111111</v>
      </c>
      <c r="D112" s="4" t="n">
        <f aca="false">LN(B112)</f>
        <v>4.50091760925129</v>
      </c>
      <c r="E112" s="4" t="n">
        <f aca="false">LN(C112)</f>
        <v>8.29458102666895</v>
      </c>
      <c r="F112" s="4" t="n">
        <f aca="false">D112-D111</f>
        <v>-0.00509771707166884</v>
      </c>
      <c r="G112" s="4" t="n">
        <f aca="false">E112-E111</f>
        <v>-0.0055887844213931</v>
      </c>
    </row>
    <row r="113" customFormat="false" ht="15" hidden="false" customHeight="false" outlineLevel="0" collapsed="false">
      <c r="A113" s="2" t="n">
        <v>41365</v>
      </c>
      <c r="B113" s="3" t="n">
        <v>90.2532617037605</v>
      </c>
      <c r="C113" s="3" t="n">
        <v>4096.22159090909</v>
      </c>
      <c r="D113" s="4" t="n">
        <f aca="false">LN(B113)</f>
        <v>4.50261973732182</v>
      </c>
      <c r="E113" s="4" t="n">
        <f aca="false">LN(C113)</f>
        <v>8.31782026459907</v>
      </c>
      <c r="F113" s="4" t="n">
        <f aca="false">D113-D112</f>
        <v>0.00170212807053005</v>
      </c>
      <c r="G113" s="4" t="n">
        <f aca="false">E113-E112</f>
        <v>0.023239237930115</v>
      </c>
    </row>
    <row r="114" customFormat="false" ht="15" hidden="false" customHeight="false" outlineLevel="0" collapsed="false">
      <c r="A114" s="2" t="n">
        <v>41395</v>
      </c>
      <c r="B114" s="3" t="n">
        <v>90.5602455871067</v>
      </c>
      <c r="C114" s="3" t="n">
        <v>4197.4455</v>
      </c>
      <c r="D114" s="4" t="n">
        <f aca="false">LN(B114)</f>
        <v>4.50601532632296</v>
      </c>
      <c r="E114" s="4" t="n">
        <f aca="false">LN(C114)</f>
        <v>8.34223140494841</v>
      </c>
      <c r="F114" s="4" t="n">
        <f aca="false">D114-D113</f>
        <v>0.00339558900113879</v>
      </c>
      <c r="G114" s="4" t="n">
        <f aca="false">E114-E113</f>
        <v>0.0244111403493381</v>
      </c>
    </row>
    <row r="115" customFormat="false" ht="15" hidden="false" customHeight="false" outlineLevel="0" collapsed="false">
      <c r="A115" s="2" t="n">
        <v>41426</v>
      </c>
      <c r="B115" s="3" t="n">
        <v>91.2509593246355</v>
      </c>
      <c r="C115" s="3" t="n">
        <v>4403.78657894737</v>
      </c>
      <c r="D115" s="4" t="n">
        <f aca="false">LN(B115)</f>
        <v>4.51361350555403</v>
      </c>
      <c r="E115" s="4" t="n">
        <f aca="false">LN(C115)</f>
        <v>8.39022003593883</v>
      </c>
      <c r="F115" s="4" t="n">
        <f aca="false">D115-D114</f>
        <v>0.00759817923107153</v>
      </c>
      <c r="G115" s="4" t="n">
        <f aca="false">E115-E114</f>
        <v>0.0479886309904263</v>
      </c>
    </row>
    <row r="116" customFormat="false" ht="15" hidden="false" customHeight="false" outlineLevel="0" collapsed="false">
      <c r="A116" s="2" t="n">
        <v>41456</v>
      </c>
      <c r="B116" s="3" t="n">
        <v>92.0951650038373</v>
      </c>
      <c r="C116" s="3" t="n">
        <v>4464.63065217391</v>
      </c>
      <c r="D116" s="4" t="n">
        <f aca="false">LN(B116)</f>
        <v>4.52282244463934</v>
      </c>
      <c r="E116" s="4" t="n">
        <f aca="false">LN(C116)</f>
        <v>8.40394176921132</v>
      </c>
      <c r="F116" s="4" t="n">
        <f aca="false">D116-D115</f>
        <v>0.00920893908530918</v>
      </c>
      <c r="G116" s="4" t="n">
        <f aca="false">E116-E115</f>
        <v>0.0137217332724884</v>
      </c>
    </row>
    <row r="117" customFormat="false" ht="15" hidden="false" customHeight="false" outlineLevel="0" collapsed="false">
      <c r="A117" s="2" t="n">
        <v>41487</v>
      </c>
      <c r="B117" s="3" t="n">
        <v>92.2486569455104</v>
      </c>
      <c r="C117" s="3" t="n">
        <v>4429.56714285714</v>
      </c>
      <c r="D117" s="4" t="n">
        <f aca="false">LN(B117)</f>
        <v>4.5244877239584</v>
      </c>
      <c r="E117" s="4" t="n">
        <f aca="false">LN(C117)</f>
        <v>8.39605714784921</v>
      </c>
      <c r="F117" s="4" t="n">
        <f aca="false">D117-D116</f>
        <v>0.00166527931906124</v>
      </c>
      <c r="G117" s="4" t="n">
        <f aca="false">E117-E116</f>
        <v>-0.00788462136210733</v>
      </c>
    </row>
    <row r="118" customFormat="false" ht="15" hidden="false" customHeight="false" outlineLevel="0" collapsed="false">
      <c r="A118" s="2" t="n">
        <v>41518</v>
      </c>
      <c r="B118" s="3" t="n">
        <v>92.3254029163469</v>
      </c>
      <c r="C118" s="3" t="n">
        <v>4446.42166666667</v>
      </c>
      <c r="D118" s="4" t="n">
        <f aca="false">LN(B118)</f>
        <v>4.52531932483793</v>
      </c>
      <c r="E118" s="4" t="n">
        <f aca="false">LN(C118)</f>
        <v>8.39985493183231</v>
      </c>
      <c r="F118" s="4" t="n">
        <f aca="false">D118-D117</f>
        <v>0.000831600879526384</v>
      </c>
      <c r="G118" s="4" t="n">
        <f aca="false">E118-E117</f>
        <v>0.0037977839830976</v>
      </c>
    </row>
    <row r="119" customFormat="false" ht="15" hidden="false" customHeight="false" outlineLevel="0" collapsed="false">
      <c r="A119" s="2" t="n">
        <v>41548</v>
      </c>
      <c r="B119" s="3" t="n">
        <v>92.2486569455104</v>
      </c>
      <c r="C119" s="3" t="n">
        <v>4444.59847826087</v>
      </c>
      <c r="D119" s="4" t="n">
        <f aca="false">LN(B119)</f>
        <v>4.5244877239584</v>
      </c>
      <c r="E119" s="4" t="n">
        <f aca="false">LN(C119)</f>
        <v>8.39944481276799</v>
      </c>
      <c r="F119" s="4" t="n">
        <f aca="false">D119-D118</f>
        <v>-0.000831600879526384</v>
      </c>
      <c r="G119" s="4" t="n">
        <f aca="false">E119-E118</f>
        <v>-0.000410119064321535</v>
      </c>
    </row>
    <row r="120" customFormat="false" ht="15" hidden="false" customHeight="false" outlineLevel="0" collapsed="false">
      <c r="A120" s="2" t="n">
        <v>41579</v>
      </c>
      <c r="B120" s="3" t="n">
        <v>92.3254029163469</v>
      </c>
      <c r="C120" s="3" t="n">
        <v>4425.68285714286</v>
      </c>
      <c r="D120" s="4" t="n">
        <f aca="false">LN(B120)</f>
        <v>4.52531932483793</v>
      </c>
      <c r="E120" s="4" t="n">
        <f aca="false">LN(C120)</f>
        <v>8.39517986353462</v>
      </c>
      <c r="F120" s="4" t="n">
        <f aca="false">D120-D119</f>
        <v>0.000831600879526384</v>
      </c>
      <c r="G120" s="4" t="n">
        <f aca="false">E120-E119</f>
        <v>-0.00426494923337017</v>
      </c>
    </row>
    <row r="121" customFormat="false" ht="15" hidden="false" customHeight="false" outlineLevel="0" collapsed="false">
      <c r="A121" s="2" t="n">
        <v>41609</v>
      </c>
      <c r="B121" s="3" t="n">
        <v>92.7091327705295</v>
      </c>
      <c r="C121" s="3" t="n">
        <v>4520.29625</v>
      </c>
      <c r="D121" s="4" t="n">
        <f aca="false">LN(B121)</f>
        <v>4.52946698735801</v>
      </c>
      <c r="E121" s="4" t="n">
        <f aca="false">LN(C121)</f>
        <v>8.41633281271389</v>
      </c>
      <c r="F121" s="4" t="n">
        <f aca="false">D121-D120</f>
        <v>0.00414766252008114</v>
      </c>
      <c r="G121" s="4" t="n">
        <f aca="false">E121-E120</f>
        <v>0.021152949179271</v>
      </c>
    </row>
    <row r="122" customFormat="false" ht="15" hidden="false" customHeight="false" outlineLevel="0" collapsed="false">
      <c r="A122" s="2" t="n">
        <v>41640</v>
      </c>
      <c r="B122" s="3" t="n">
        <v>92.9393706830391</v>
      </c>
      <c r="C122" s="3" t="n">
        <v>4635.2175</v>
      </c>
      <c r="D122" s="4" t="n">
        <f aca="false">LN(B122)</f>
        <v>4.53194735241634</v>
      </c>
      <c r="E122" s="4" t="n">
        <f aca="false">LN(C122)</f>
        <v>8.44143840246533</v>
      </c>
      <c r="F122" s="4" t="n">
        <f aca="false">D122-D121</f>
        <v>0.00248036505833227</v>
      </c>
      <c r="G122" s="4" t="n">
        <f aca="false">E122-E121</f>
        <v>0.0251055897514387</v>
      </c>
    </row>
    <row r="123" customFormat="false" ht="15" hidden="false" customHeight="false" outlineLevel="0" collapsed="false">
      <c r="A123" s="2" t="n">
        <v>41671</v>
      </c>
      <c r="B123" s="3" t="n">
        <v>92.8626247122026</v>
      </c>
      <c r="C123" s="3" t="n">
        <v>4512.64525</v>
      </c>
      <c r="D123" s="4" t="n">
        <f aca="false">LN(B123)</f>
        <v>4.53112124745403</v>
      </c>
      <c r="E123" s="4" t="n">
        <f aca="false">LN(C123)</f>
        <v>8.41463879048875</v>
      </c>
      <c r="F123" s="4" t="n">
        <f aca="false">D123-D122</f>
        <v>-0.000826104962305507</v>
      </c>
      <c r="G123" s="4" t="n">
        <f aca="false">E123-E122</f>
        <v>-0.0267996119765748</v>
      </c>
    </row>
    <row r="124" customFormat="false" ht="15" hidden="false" customHeight="false" outlineLevel="0" collapsed="false">
      <c r="A124" s="2" t="n">
        <v>41699</v>
      </c>
      <c r="B124" s="3" t="n">
        <v>92.8626247122026</v>
      </c>
      <c r="C124" s="3" t="n">
        <v>4423.77761904762</v>
      </c>
      <c r="D124" s="4" t="n">
        <f aca="false">LN(B124)</f>
        <v>4.53112124745403</v>
      </c>
      <c r="E124" s="4" t="n">
        <f aca="false">LN(C124)</f>
        <v>8.39474927499653</v>
      </c>
      <c r="F124" s="4" t="n">
        <f aca="false">D124-D123</f>
        <v>0</v>
      </c>
      <c r="G124" s="4" t="n">
        <f aca="false">E124-E123</f>
        <v>-0.0198895154922276</v>
      </c>
    </row>
    <row r="125" customFormat="false" ht="15" hidden="false" customHeight="false" outlineLevel="0" collapsed="false">
      <c r="A125" s="2" t="n">
        <v>41730</v>
      </c>
      <c r="B125" s="3" t="n">
        <v>93.0161166538757</v>
      </c>
      <c r="C125" s="3" t="n">
        <v>4433.22675</v>
      </c>
      <c r="D125" s="4" t="n">
        <f aca="false">LN(B125)</f>
        <v>4.53277277549251</v>
      </c>
      <c r="E125" s="4" t="n">
        <f aca="false">LN(C125)</f>
        <v>8.39688298389936</v>
      </c>
      <c r="F125" s="4" t="n">
        <f aca="false">D125-D124</f>
        <v>0.00165152803847324</v>
      </c>
      <c r="G125" s="4" t="n">
        <f aca="false">E125-E124</f>
        <v>0.0021337089028286</v>
      </c>
    </row>
    <row r="126" customFormat="false" ht="15" hidden="false" customHeight="false" outlineLevel="0" collapsed="false">
      <c r="A126" s="2" t="n">
        <v>41760</v>
      </c>
      <c r="B126" s="3" t="n">
        <v>93.1696085955487</v>
      </c>
      <c r="C126" s="3" t="n">
        <v>4421.63368421053</v>
      </c>
      <c r="D126" s="4" t="n">
        <f aca="false">LN(B126)</f>
        <v>4.53442158048269</v>
      </c>
      <c r="E126" s="4" t="n">
        <f aca="false">LN(C126)</f>
        <v>8.39426451859446</v>
      </c>
      <c r="F126" s="4" t="n">
        <f aca="false">D126-D125</f>
        <v>0.00164880499018327</v>
      </c>
      <c r="G126" s="4" t="n">
        <f aca="false">E126-E125</f>
        <v>-0.00261846530489329</v>
      </c>
    </row>
    <row r="127" customFormat="false" ht="15" hidden="false" customHeight="false" outlineLevel="0" collapsed="false">
      <c r="A127" s="2" t="n">
        <v>41791</v>
      </c>
      <c r="B127" s="3" t="n">
        <v>93.1696085955487</v>
      </c>
      <c r="C127" s="3" t="n">
        <v>4404.765</v>
      </c>
      <c r="D127" s="4" t="n">
        <f aca="false">LN(B127)</f>
        <v>4.53442158048269</v>
      </c>
      <c r="E127" s="4" t="n">
        <f aca="false">LN(C127)</f>
        <v>8.39044218847955</v>
      </c>
      <c r="F127" s="4" t="n">
        <f aca="false">D127-D126</f>
        <v>0</v>
      </c>
      <c r="G127" s="4" t="n">
        <f aca="false">E127-E126</f>
        <v>-0.00382233011491273</v>
      </c>
    </row>
    <row r="128" customFormat="false" ht="15" hidden="false" customHeight="false" outlineLevel="0" collapsed="false">
      <c r="A128" s="2" t="n">
        <v>41821</v>
      </c>
      <c r="B128" s="3" t="n">
        <v>93.0928626247122</v>
      </c>
      <c r="C128" s="3" t="n">
        <v>4267.30695652174</v>
      </c>
      <c r="D128" s="4" t="n">
        <f aca="false">LN(B128)</f>
        <v>4.5335975178073</v>
      </c>
      <c r="E128" s="4" t="n">
        <f aca="false">LN(C128)</f>
        <v>8.35873821791532</v>
      </c>
      <c r="F128" s="4" t="n">
        <f aca="false">D128-D127</f>
        <v>-0.000824062675393478</v>
      </c>
      <c r="G128" s="4" t="n">
        <f aca="false">E128-E127</f>
        <v>-0.0317039705642337</v>
      </c>
    </row>
    <row r="129" customFormat="false" ht="15" hidden="false" customHeight="false" outlineLevel="0" collapsed="false">
      <c r="A129" s="2" t="n">
        <v>41852</v>
      </c>
      <c r="B129" s="3" t="n">
        <v>92.9393706830391</v>
      </c>
      <c r="C129" s="3" t="n">
        <v>4267.8545</v>
      </c>
      <c r="D129" s="4" t="n">
        <f aca="false">LN(B129)</f>
        <v>4.53194735241634</v>
      </c>
      <c r="E129" s="4" t="n">
        <f aca="false">LN(C129)</f>
        <v>8.35886652093145</v>
      </c>
      <c r="F129" s="4" t="n">
        <f aca="false">D129-D128</f>
        <v>-0.00165016539095753</v>
      </c>
      <c r="G129" s="4" t="n">
        <f aca="false">E129-E128</f>
        <v>0.000128303016129649</v>
      </c>
    </row>
    <row r="130" customFormat="false" ht="15" hidden="false" customHeight="false" outlineLevel="0" collapsed="false">
      <c r="A130" s="2" t="n">
        <v>41883</v>
      </c>
      <c r="B130" s="3" t="n">
        <v>93.0928626247122</v>
      </c>
      <c r="C130" s="3" t="n">
        <v>4334.37857142857</v>
      </c>
      <c r="D130" s="4" t="n">
        <f aca="false">LN(B130)</f>
        <v>4.5335975178073</v>
      </c>
      <c r="E130" s="4" t="n">
        <f aca="false">LN(C130)</f>
        <v>8.37433352748061</v>
      </c>
      <c r="F130" s="4" t="n">
        <f aca="false">D130-D129</f>
        <v>0.00165016539095753</v>
      </c>
      <c r="G130" s="4" t="n">
        <f aca="false">E130-E129</f>
        <v>0.015467006549164</v>
      </c>
    </row>
    <row r="131" customFormat="false" ht="15" hidden="false" customHeight="false" outlineLevel="0" collapsed="false">
      <c r="A131" s="2" t="n">
        <v>41913</v>
      </c>
      <c r="B131" s="3" t="n">
        <v>93.6300844205679</v>
      </c>
      <c r="C131" s="3" t="n">
        <v>4574.26630434783</v>
      </c>
      <c r="D131" s="4" t="n">
        <f aca="false">LN(B131)</f>
        <v>4.53935174659055</v>
      </c>
      <c r="E131" s="4" t="n">
        <f aca="false">LN(C131)</f>
        <v>8.42820159421452</v>
      </c>
      <c r="F131" s="4" t="n">
        <f aca="false">D131-D130</f>
        <v>0.00575422878325238</v>
      </c>
      <c r="G131" s="4" t="n">
        <f aca="false">E131-E130</f>
        <v>0.0538680667339122</v>
      </c>
    </row>
    <row r="132" customFormat="false" ht="15" hidden="false" customHeight="false" outlineLevel="0" collapsed="false">
      <c r="A132" s="2" t="n">
        <v>41944</v>
      </c>
      <c r="B132" s="3" t="n">
        <v>93.9370683039141</v>
      </c>
      <c r="C132" s="3" t="n">
        <v>4641.8835</v>
      </c>
      <c r="D132" s="4" t="n">
        <f aca="false">LN(B132)</f>
        <v>4.54262507193552</v>
      </c>
      <c r="E132" s="4" t="n">
        <f aca="false">LN(C132)</f>
        <v>8.44287548957848</v>
      </c>
      <c r="F132" s="4" t="n">
        <f aca="false">D132-D131</f>
        <v>0.00327332534496883</v>
      </c>
      <c r="G132" s="4" t="n">
        <f aca="false">E132-E131</f>
        <v>0.0146738953639538</v>
      </c>
    </row>
    <row r="133" customFormat="false" ht="15" hidden="false" customHeight="false" outlineLevel="0" collapsed="false">
      <c r="A133" s="2" t="n">
        <v>41974</v>
      </c>
      <c r="B133" s="3" t="n">
        <v>93.783576362241</v>
      </c>
      <c r="C133" s="3" t="n">
        <v>4629.90380952381</v>
      </c>
      <c r="D133" s="4" t="n">
        <f aca="false">LN(B133)</f>
        <v>4.54098974859479</v>
      </c>
      <c r="E133" s="4" t="n">
        <f aca="false">LN(C133)</f>
        <v>8.44029137138365</v>
      </c>
      <c r="F133" s="4" t="n">
        <f aca="false">D133-D132</f>
        <v>-0.00163532334073047</v>
      </c>
      <c r="G133" s="4" t="n">
        <f aca="false">E133-E132</f>
        <v>-0.00258411819482696</v>
      </c>
    </row>
    <row r="134" customFormat="false" ht="15" hidden="false" customHeight="false" outlineLevel="0" collapsed="false">
      <c r="A134" s="2" t="n">
        <v>42005</v>
      </c>
      <c r="B134" s="3" t="n">
        <v>93.3998465080583</v>
      </c>
      <c r="C134" s="3" t="n">
        <v>4753.52380952381</v>
      </c>
      <c r="D134" s="4" t="n">
        <f aca="false">LN(B134)</f>
        <v>4.53688970185077</v>
      </c>
      <c r="E134" s="4" t="n">
        <f aca="false">LN(C134)</f>
        <v>8.46664147662714</v>
      </c>
      <c r="F134" s="4" t="n">
        <f aca="false">D134-D133</f>
        <v>-0.00410004674401332</v>
      </c>
      <c r="G134" s="4" t="n">
        <f aca="false">E134-E133</f>
        <v>0.0263501052434965</v>
      </c>
    </row>
    <row r="135" customFormat="false" ht="15" hidden="false" customHeight="false" outlineLevel="0" collapsed="false">
      <c r="A135" s="2" t="n">
        <v>42036</v>
      </c>
      <c r="B135" s="3" t="n">
        <v>91.8649270913277</v>
      </c>
      <c r="C135" s="3" t="n">
        <v>4760.04575</v>
      </c>
      <c r="D135" s="4" t="n">
        <f aca="false">LN(B135)</f>
        <v>4.52031931442122</v>
      </c>
      <c r="E135" s="4" t="n">
        <f aca="false">LN(C135)</f>
        <v>8.46801255852382</v>
      </c>
      <c r="F135" s="4" t="n">
        <f aca="false">D135-D134</f>
        <v>-0.016570387429554</v>
      </c>
      <c r="G135" s="4" t="n">
        <f aca="false">E135-E134</f>
        <v>0.00137108189667146</v>
      </c>
    </row>
    <row r="136" customFormat="false" ht="15" hidden="false" customHeight="false" outlineLevel="0" collapsed="false">
      <c r="A136" s="2" t="n">
        <v>42064</v>
      </c>
      <c r="B136" s="3" t="n">
        <v>91.7114351496546</v>
      </c>
      <c r="C136" s="3" t="n">
        <v>4765.00931818182</v>
      </c>
      <c r="D136" s="4" t="n">
        <f aca="false">LN(B136)</f>
        <v>4.51864707322886</v>
      </c>
      <c r="E136" s="4" t="n">
        <f aca="false">LN(C136)</f>
        <v>8.46905477163347</v>
      </c>
      <c r="F136" s="4" t="n">
        <f aca="false">D136-D135</f>
        <v>-0.0016722411923622</v>
      </c>
      <c r="G136" s="4" t="n">
        <f aca="false">E136-E135</f>
        <v>0.0010422131096508</v>
      </c>
    </row>
    <row r="137" customFormat="false" ht="15" hidden="false" customHeight="false" outlineLevel="0" collapsed="false">
      <c r="A137" s="2" t="n">
        <v>42095</v>
      </c>
      <c r="B137" s="3" t="n">
        <v>92.3254029163469</v>
      </c>
      <c r="C137" s="3" t="n">
        <v>4962.676</v>
      </c>
      <c r="D137" s="4" t="n">
        <f aca="false">LN(B137)</f>
        <v>4.52531932483793</v>
      </c>
      <c r="E137" s="4" t="n">
        <f aca="false">LN(C137)</f>
        <v>8.5097003903615</v>
      </c>
      <c r="F137" s="4" t="n">
        <f aca="false">D137-D136</f>
        <v>0.00667225160906781</v>
      </c>
      <c r="G137" s="4" t="n">
        <f aca="false">E137-E136</f>
        <v>0.0406456187280373</v>
      </c>
    </row>
    <row r="138" customFormat="false" ht="15" hidden="false" customHeight="false" outlineLevel="0" collapsed="false">
      <c r="A138" s="2" t="n">
        <v>42125</v>
      </c>
      <c r="B138" s="3" t="n">
        <v>93.0161166538757</v>
      </c>
      <c r="C138" s="3" t="n">
        <v>5069.13722222222</v>
      </c>
      <c r="D138" s="4" t="n">
        <f aca="false">LN(B138)</f>
        <v>4.53277277549251</v>
      </c>
      <c r="E138" s="4" t="n">
        <f aca="false">LN(C138)</f>
        <v>8.53092590897243</v>
      </c>
      <c r="F138" s="4" t="n">
        <f aca="false">D138-D137</f>
        <v>0.00745345065458114</v>
      </c>
      <c r="G138" s="4" t="n">
        <f aca="false">E138-E137</f>
        <v>0.0212255186109225</v>
      </c>
    </row>
    <row r="139" customFormat="false" ht="15" hidden="false" customHeight="false" outlineLevel="0" collapsed="false">
      <c r="A139" s="2" t="n">
        <v>42156</v>
      </c>
      <c r="B139" s="3" t="n">
        <v>93.4765924788948</v>
      </c>
      <c r="C139" s="3" t="n">
        <v>5136.55761904762</v>
      </c>
      <c r="D139" s="4" t="n">
        <f aca="false">LN(B139)</f>
        <v>4.53771105713309</v>
      </c>
      <c r="E139" s="4" t="n">
        <f aca="false">LN(C139)</f>
        <v>8.54413841016327</v>
      </c>
      <c r="F139" s="4" t="n">
        <f aca="false">D139-D138</f>
        <v>0.00493828164058208</v>
      </c>
      <c r="G139" s="4" t="n">
        <f aca="false">E139-E138</f>
        <v>0.0132125011908428</v>
      </c>
    </row>
    <row r="140" customFormat="false" ht="15" hidden="false" customHeight="false" outlineLevel="0" collapsed="false">
      <c r="A140" s="2" t="n">
        <v>42186</v>
      </c>
      <c r="B140" s="3" t="n">
        <v>94.0905602455871</v>
      </c>
      <c r="C140" s="3" t="n">
        <v>5151.65818181818</v>
      </c>
      <c r="D140" s="4" t="n">
        <f aca="false">LN(B140)</f>
        <v>4.5442577253594</v>
      </c>
      <c r="E140" s="4" t="n">
        <f aca="false">LN(C140)</f>
        <v>8.54707391888637</v>
      </c>
      <c r="F140" s="4" t="n">
        <f aca="false">D140-D139</f>
        <v>0.00654666822631445</v>
      </c>
      <c r="G140" s="4" t="n">
        <f aca="false">E140-E139</f>
        <v>0.0029355087231</v>
      </c>
    </row>
    <row r="141" customFormat="false" ht="15" hidden="false" customHeight="false" outlineLevel="0" collapsed="false">
      <c r="A141" s="2" t="n">
        <v>42217</v>
      </c>
      <c r="B141" s="3" t="n">
        <v>95.0115118956255</v>
      </c>
      <c r="C141" s="3" t="n">
        <v>5262.07095238095</v>
      </c>
      <c r="D141" s="4" t="n">
        <f aca="false">LN(B141)</f>
        <v>4.55399806210779</v>
      </c>
      <c r="E141" s="4" t="n">
        <f aca="false">LN(C141)</f>
        <v>8.56827994542817</v>
      </c>
      <c r="F141" s="4" t="n">
        <f aca="false">D141-D140</f>
        <v>0.00974033674838459</v>
      </c>
      <c r="G141" s="4" t="n">
        <f aca="false">E141-E140</f>
        <v>0.0212060265418046</v>
      </c>
    </row>
    <row r="142" customFormat="false" ht="15" hidden="false" customHeight="false" outlineLevel="0" collapsed="false">
      <c r="A142" s="2" t="n">
        <v>42248</v>
      </c>
      <c r="B142" s="3" t="n">
        <v>95.6254796623177</v>
      </c>
      <c r="C142" s="3" t="n">
        <v>5506.59761904762</v>
      </c>
      <c r="D142" s="4" t="n">
        <f aca="false">LN(B142)</f>
        <v>4.56043930821064</v>
      </c>
      <c r="E142" s="4" t="n">
        <f aca="false">LN(C142)</f>
        <v>8.61370221941438</v>
      </c>
      <c r="F142" s="4" t="n">
        <f aca="false">D142-D141</f>
        <v>0.0064412461028569</v>
      </c>
      <c r="G142" s="4" t="n">
        <f aca="false">E142-E141</f>
        <v>0.0454222739862029</v>
      </c>
    </row>
    <row r="143" customFormat="false" ht="15" hidden="false" customHeight="false" outlineLevel="0" collapsed="false">
      <c r="A143" s="2" t="n">
        <v>42278</v>
      </c>
      <c r="B143" s="3" t="n">
        <v>96.5464313123561</v>
      </c>
      <c r="C143" s="3" t="n">
        <v>5650.59727272727</v>
      </c>
      <c r="D143" s="4" t="n">
        <f aca="false">LN(B143)</f>
        <v>4.57002404612363</v>
      </c>
      <c r="E143" s="4" t="n">
        <f aca="false">LN(C143)</f>
        <v>8.6395165305405</v>
      </c>
      <c r="F143" s="4" t="n">
        <f aca="false">D143-D142</f>
        <v>0.00958473791298786</v>
      </c>
      <c r="G143" s="4" t="n">
        <f aca="false">E143-E142</f>
        <v>0.0258143111261191</v>
      </c>
    </row>
    <row r="144" customFormat="false" ht="15" hidden="false" customHeight="false" outlineLevel="0" collapsed="false">
      <c r="A144" s="2" t="n">
        <v>42309</v>
      </c>
      <c r="B144" s="3" t="n">
        <v>97.0069071373753</v>
      </c>
      <c r="C144" s="3" t="n">
        <v>5638.69738095238</v>
      </c>
      <c r="D144" s="4" t="n">
        <f aca="false">LN(B144)</f>
        <v>4.57478218357005</v>
      </c>
      <c r="E144" s="4" t="n">
        <f aca="false">LN(C144)</f>
        <v>8.6374083569925</v>
      </c>
      <c r="F144" s="4" t="n">
        <f aca="false">D144-D143</f>
        <v>0.00475813744641673</v>
      </c>
      <c r="G144" s="4" t="n">
        <f aca="false">E144-E143</f>
        <v>-0.00210817354799531</v>
      </c>
    </row>
    <row r="145" customFormat="false" ht="15" hidden="false" customHeight="false" outlineLevel="0" collapsed="false">
      <c r="A145" s="2" t="n">
        <v>42339</v>
      </c>
      <c r="B145" s="3" t="n">
        <v>97.8511128165771</v>
      </c>
      <c r="C145" s="3" t="n">
        <v>5802.47857142857</v>
      </c>
      <c r="D145" s="4" t="n">
        <f aca="false">LN(B145)</f>
        <v>4.58344706645577</v>
      </c>
      <c r="E145" s="4" t="n">
        <f aca="false">LN(C145)</f>
        <v>8.6660404451523</v>
      </c>
      <c r="F145" s="4" t="n">
        <f aca="false">D145-D144</f>
        <v>0.00866488288572409</v>
      </c>
      <c r="G145" s="4" t="n">
        <f aca="false">E145-E144</f>
        <v>0.0286320881597977</v>
      </c>
    </row>
    <row r="146" customFormat="false" ht="15" hidden="false" customHeight="false" outlineLevel="0" collapsed="false">
      <c r="A146" s="2" t="n">
        <v>42370</v>
      </c>
      <c r="B146" s="3" t="n">
        <v>97.544128933231</v>
      </c>
      <c r="C146" s="3" t="n">
        <v>5907.23775</v>
      </c>
      <c r="D146" s="4" t="n">
        <f aca="false">LN(B146)</f>
        <v>4.5803048800527</v>
      </c>
      <c r="E146" s="4" t="n">
        <f aca="false">LN(C146)</f>
        <v>8.68393361535456</v>
      </c>
      <c r="F146" s="4" t="n">
        <f aca="false">D146-D145</f>
        <v>-0.00314218640307296</v>
      </c>
      <c r="G146" s="4" t="n">
        <f aca="false">E146-E145</f>
        <v>0.017893170202262</v>
      </c>
    </row>
    <row r="147" customFormat="false" ht="15" hidden="false" customHeight="false" outlineLevel="0" collapsed="false">
      <c r="A147" s="2" t="n">
        <v>42401</v>
      </c>
      <c r="B147" s="3" t="n">
        <v>97.1603990790483</v>
      </c>
      <c r="C147" s="3" t="n">
        <v>5792.00975</v>
      </c>
      <c r="D147" s="4" t="n">
        <f aca="false">LN(B147)</f>
        <v>4.57636321156737</v>
      </c>
      <c r="E147" s="4" t="n">
        <f aca="false">LN(C147)</f>
        <v>8.66423461742049</v>
      </c>
      <c r="F147" s="4" t="n">
        <f aca="false">D147-D146</f>
        <v>-0.00394166848533217</v>
      </c>
      <c r="G147" s="4" t="n">
        <f aca="false">E147-E146</f>
        <v>-0.0196989979340714</v>
      </c>
    </row>
    <row r="148" customFormat="false" ht="15" hidden="false" customHeight="false" outlineLevel="0" collapsed="false">
      <c r="A148" s="2" t="n">
        <v>42430</v>
      </c>
      <c r="B148" s="3" t="n">
        <v>97.0069071373753</v>
      </c>
      <c r="C148" s="3" t="n">
        <v>5694.63714285714</v>
      </c>
      <c r="D148" s="4" t="n">
        <f aca="false">LN(B148)</f>
        <v>4.57478218357005</v>
      </c>
      <c r="E148" s="4" t="n">
        <f aca="false">LN(C148)</f>
        <v>8.64728015881314</v>
      </c>
      <c r="F148" s="4" t="n">
        <f aca="false">D148-D147</f>
        <v>-0.00158102799731896</v>
      </c>
      <c r="G148" s="4" t="n">
        <f aca="false">E148-E147</f>
        <v>-0.0169544586073496</v>
      </c>
    </row>
    <row r="149" customFormat="false" ht="15" hidden="false" customHeight="false" outlineLevel="0" collapsed="false">
      <c r="A149" s="2" t="n">
        <v>42461</v>
      </c>
      <c r="B149" s="3" t="n">
        <v>97.0836531082118</v>
      </c>
      <c r="C149" s="3" t="n">
        <v>5567.50404761905</v>
      </c>
      <c r="D149" s="4" t="n">
        <f aca="false">LN(B149)</f>
        <v>4.57557301002487</v>
      </c>
      <c r="E149" s="4" t="n">
        <f aca="false">LN(C149)</f>
        <v>8.62470212613962</v>
      </c>
      <c r="F149" s="4" t="n">
        <f aca="false">D149-D148</f>
        <v>0.000790826454817761</v>
      </c>
      <c r="G149" s="4" t="n">
        <f aca="false">E149-E148</f>
        <v>-0.0225780326735201</v>
      </c>
    </row>
    <row r="150" customFormat="false" ht="15" hidden="false" customHeight="false" outlineLevel="0" collapsed="false">
      <c r="A150" s="2" t="n">
        <v>42491</v>
      </c>
      <c r="B150" s="3" t="n">
        <v>97.2371450498849</v>
      </c>
      <c r="C150" s="3" t="n">
        <v>5619.40340909091</v>
      </c>
      <c r="D150" s="4" t="n">
        <f aca="false">LN(B150)</f>
        <v>4.57715278918439</v>
      </c>
      <c r="E150" s="4" t="n">
        <f aca="false">LN(C150)</f>
        <v>8.63398078228687</v>
      </c>
      <c r="F150" s="4" t="n">
        <f aca="false">D150-D149</f>
        <v>0.00157977915951868</v>
      </c>
      <c r="G150" s="4" t="n">
        <f aca="false">E150-E149</f>
        <v>0.00927865614725043</v>
      </c>
    </row>
    <row r="151" customFormat="false" ht="15" hidden="false" customHeight="false" outlineLevel="0" collapsed="false">
      <c r="A151" s="2" t="n">
        <v>42522</v>
      </c>
      <c r="B151" s="3" t="n">
        <v>97.4673829623945</v>
      </c>
      <c r="C151" s="3" t="n">
        <v>5639.01545454546</v>
      </c>
      <c r="D151" s="4" t="n">
        <f aca="false">LN(B151)</f>
        <v>4.57951778831588</v>
      </c>
      <c r="E151" s="4" t="n">
        <f aca="false">LN(C151)</f>
        <v>8.63746476445699</v>
      </c>
      <c r="F151" s="4" t="n">
        <f aca="false">D151-D150</f>
        <v>0.00236499913149757</v>
      </c>
      <c r="G151" s="4" t="n">
        <f aca="false">E151-E150</f>
        <v>0.00348398217012225</v>
      </c>
    </row>
    <row r="152" customFormat="false" ht="15" hidden="false" customHeight="false" outlineLevel="0" collapsed="false">
      <c r="A152" s="2" t="n">
        <v>42552</v>
      </c>
      <c r="B152" s="3" t="n">
        <v>97.4673829623945</v>
      </c>
      <c r="C152" s="3" t="n">
        <v>5559.97404761905</v>
      </c>
      <c r="D152" s="4" t="n">
        <f aca="false">LN(B152)</f>
        <v>4.57951778831588</v>
      </c>
      <c r="E152" s="4" t="n">
        <f aca="false">LN(C152)</f>
        <v>8.62334871953932</v>
      </c>
      <c r="F152" s="4" t="n">
        <f aca="false">D152-D151</f>
        <v>0</v>
      </c>
      <c r="G152" s="4" t="n">
        <f aca="false">E152-E151</f>
        <v>-0.0141160449176727</v>
      </c>
    </row>
    <row r="153" customFormat="false" ht="15" hidden="false" customHeight="false" outlineLevel="0" collapsed="false">
      <c r="A153" s="2" t="n">
        <v>42583</v>
      </c>
      <c r="B153" s="3" t="n">
        <v>97.4673829623945</v>
      </c>
      <c r="C153" s="3" t="n">
        <v>5517.49977272727</v>
      </c>
      <c r="D153" s="4" t="n">
        <f aca="false">LN(B153)</f>
        <v>4.57951778831588</v>
      </c>
      <c r="E153" s="4" t="n">
        <f aca="false">LN(C153)</f>
        <v>8.61568009693964</v>
      </c>
      <c r="F153" s="4" t="n">
        <f aca="false">D153-D152</f>
        <v>0</v>
      </c>
      <c r="G153" s="4" t="n">
        <f aca="false">E153-E152</f>
        <v>-0.00766862259967915</v>
      </c>
    </row>
    <row r="154" customFormat="false" ht="15" hidden="false" customHeight="false" outlineLevel="0" collapsed="false">
      <c r="A154" s="2" t="n">
        <v>42614</v>
      </c>
      <c r="B154" s="3" t="n">
        <v>97.544128933231</v>
      </c>
      <c r="C154" s="3" t="n">
        <v>5558.01409090909</v>
      </c>
      <c r="D154" s="4" t="n">
        <f aca="false">LN(B154)</f>
        <v>4.5803048800527</v>
      </c>
      <c r="E154" s="4" t="n">
        <f aca="false">LN(C154)</f>
        <v>8.62299614554736</v>
      </c>
      <c r="F154" s="4" t="n">
        <f aca="false">D154-D153</f>
        <v>0.000787091736817125</v>
      </c>
      <c r="G154" s="4" t="n">
        <f aca="false">E154-E153</f>
        <v>0.0073160486077235</v>
      </c>
    </row>
    <row r="155" customFormat="false" ht="15" hidden="false" customHeight="false" outlineLevel="0" collapsed="false">
      <c r="A155" s="2" t="n">
        <v>42644</v>
      </c>
      <c r="B155" s="3" t="n">
        <v>97.9278587874136</v>
      </c>
      <c r="C155" s="3" t="n">
        <v>5632.54175</v>
      </c>
      <c r="D155" s="4" t="n">
        <f aca="false">LN(B155)</f>
        <v>4.58423107276798</v>
      </c>
      <c r="E155" s="4" t="n">
        <f aca="false">LN(C155)</f>
        <v>8.63631608461803</v>
      </c>
      <c r="F155" s="4" t="n">
        <f aca="false">D155-D154</f>
        <v>0.00392619271528094</v>
      </c>
      <c r="G155" s="4" t="n">
        <f aca="false">E155-E154</f>
        <v>0.0133199390706693</v>
      </c>
    </row>
    <row r="156" customFormat="false" ht="15" hidden="false" customHeight="false" outlineLevel="0" collapsed="false">
      <c r="A156" s="2" t="n">
        <v>42675</v>
      </c>
      <c r="B156" s="3" t="n">
        <v>98.1580966999233</v>
      </c>
      <c r="C156" s="3" t="n">
        <v>5772.76022727273</v>
      </c>
      <c r="D156" s="4" t="n">
        <f aca="false">LN(B156)</f>
        <v>4.58657941044209</v>
      </c>
      <c r="E156" s="4" t="n">
        <f aca="false">LN(C156)</f>
        <v>8.66090562072754</v>
      </c>
      <c r="F156" s="4" t="n">
        <f aca="false">D156-D155</f>
        <v>0.0023483376741078</v>
      </c>
      <c r="G156" s="4" t="n">
        <f aca="false">E156-E155</f>
        <v>0.0245895361095023</v>
      </c>
    </row>
    <row r="157" customFormat="false" ht="15" hidden="false" customHeight="false" outlineLevel="0" collapsed="false">
      <c r="A157" s="2" t="n">
        <v>42705</v>
      </c>
      <c r="B157" s="3" t="n">
        <v>98.6185725249424</v>
      </c>
      <c r="C157" s="3" t="n">
        <v>5785.89333333333</v>
      </c>
      <c r="D157" s="4" t="n">
        <f aca="false">LN(B157)</f>
        <v>4.59125960619257</v>
      </c>
      <c r="E157" s="4" t="n">
        <f aca="false">LN(C157)</f>
        <v>8.66317805006254</v>
      </c>
      <c r="F157" s="4" t="n">
        <f aca="false">D157-D156</f>
        <v>0.00468019575047762</v>
      </c>
      <c r="G157" s="4" t="n">
        <f aca="false">E157-E156</f>
        <v>0.00227242933500627</v>
      </c>
    </row>
    <row r="158" customFormat="false" ht="15" hidden="false" customHeight="false" outlineLevel="0" collapsed="false">
      <c r="A158" s="2" t="n">
        <v>42736</v>
      </c>
      <c r="B158" s="3" t="n">
        <v>98.7720644666155</v>
      </c>
      <c r="C158" s="3" t="n">
        <v>5754.47863636364</v>
      </c>
      <c r="D158" s="4" t="n">
        <f aca="false">LN(B158)</f>
        <v>4.59281481645937</v>
      </c>
      <c r="E158" s="4" t="n">
        <f aca="false">LN(C158)</f>
        <v>8.65773372389208</v>
      </c>
      <c r="F158" s="4" t="n">
        <f aca="false">D158-D157</f>
        <v>0.00155521026680638</v>
      </c>
      <c r="G158" s="4" t="n">
        <f aca="false">E158-E157</f>
        <v>-0.00544432617046375</v>
      </c>
    </row>
    <row r="159" customFormat="false" ht="15" hidden="false" customHeight="false" outlineLevel="0" collapsed="false">
      <c r="A159" s="2" t="n">
        <v>42767</v>
      </c>
      <c r="B159" s="3" t="n">
        <v>98.7720644666155</v>
      </c>
      <c r="C159" s="3" t="n">
        <v>5676.74684210526</v>
      </c>
      <c r="D159" s="4" t="n">
        <f aca="false">LN(B159)</f>
        <v>4.59281481645937</v>
      </c>
      <c r="E159" s="4" t="n">
        <f aca="false">LN(C159)</f>
        <v>8.64413360857155</v>
      </c>
      <c r="F159" s="4" t="n">
        <f aca="false">D159-D158</f>
        <v>0</v>
      </c>
      <c r="G159" s="4" t="n">
        <f aca="false">E159-E158</f>
        <v>-0.0136001153205267</v>
      </c>
    </row>
    <row r="160" customFormat="false" ht="15" hidden="false" customHeight="false" outlineLevel="0" collapsed="false">
      <c r="A160" s="2" t="n">
        <v>42795</v>
      </c>
      <c r="B160" s="3" t="n">
        <v>98.5418265541059</v>
      </c>
      <c r="C160" s="3" t="n">
        <v>5528.54326086957</v>
      </c>
      <c r="D160" s="4" t="n">
        <f aca="false">LN(B160)</f>
        <v>4.59048109311315</v>
      </c>
      <c r="E160" s="4" t="n">
        <f aca="false">LN(C160)</f>
        <v>8.61767963501643</v>
      </c>
      <c r="F160" s="4" t="n">
        <f aca="false">D160-D159</f>
        <v>-0.0023337233462204</v>
      </c>
      <c r="G160" s="4" t="n">
        <f aca="false">E160-E159</f>
        <v>-0.0264539735551228</v>
      </c>
    </row>
    <row r="161" customFormat="false" ht="15" hidden="false" customHeight="false" outlineLevel="0" collapsed="false">
      <c r="A161" s="2" t="n">
        <v>42826</v>
      </c>
      <c r="B161" s="3" t="n">
        <v>98.848810437452</v>
      </c>
      <c r="C161" s="3" t="n">
        <v>5569.53</v>
      </c>
      <c r="D161" s="4" t="n">
        <f aca="false">LN(B161)</f>
        <v>4.59359151552755</v>
      </c>
      <c r="E161" s="4" t="n">
        <f aca="false">LN(C161)</f>
        <v>8.62506594875067</v>
      </c>
      <c r="F161" s="4" t="n">
        <f aca="false">D161-D160</f>
        <v>0.00311042241439274</v>
      </c>
      <c r="G161" s="4" t="n">
        <f aca="false">E161-E160</f>
        <v>0.00738631373424425</v>
      </c>
    </row>
    <row r="162" customFormat="false" ht="15" hidden="false" customHeight="false" outlineLevel="0" collapsed="false">
      <c r="A162" s="2" t="n">
        <v>42856</v>
      </c>
      <c r="B162" s="3" t="n">
        <v>99.0790483499616</v>
      </c>
      <c r="C162" s="3" t="n">
        <v>5590.98928571429</v>
      </c>
      <c r="D162" s="4" t="n">
        <f aca="false">LN(B162)</f>
        <v>4.59591799970989</v>
      </c>
      <c r="E162" s="4" t="n">
        <f aca="false">LN(C162)</f>
        <v>8.62891152467966</v>
      </c>
      <c r="F162" s="4" t="n">
        <f aca="false">D162-D161</f>
        <v>0.00232648418234316</v>
      </c>
      <c r="G162" s="4" t="n">
        <f aca="false">E162-E161</f>
        <v>0.00384557592898993</v>
      </c>
    </row>
    <row r="163" customFormat="false" ht="15" hidden="false" customHeight="false" outlineLevel="0" collapsed="false">
      <c r="A163" s="2" t="n">
        <v>42887</v>
      </c>
      <c r="B163" s="3" t="n">
        <v>99.2325402916347</v>
      </c>
      <c r="C163" s="3" t="n">
        <v>5572.09142857143</v>
      </c>
      <c r="D163" s="4" t="n">
        <f aca="false">LN(B163)</f>
        <v>4.5974659876351</v>
      </c>
      <c r="E163" s="4" t="n">
        <f aca="false">LN(C163)</f>
        <v>8.62552574333856</v>
      </c>
      <c r="F163" s="4" t="n">
        <f aca="false">D163-D162</f>
        <v>0.00154798792521582</v>
      </c>
      <c r="G163" s="4" t="n">
        <f aca="false">E163-E162</f>
        <v>-0.00338578134110534</v>
      </c>
    </row>
    <row r="164" customFormat="false" ht="15" hidden="false" customHeight="false" outlineLevel="0" collapsed="false">
      <c r="A164" s="2" t="n">
        <v>42917</v>
      </c>
      <c r="B164" s="3" t="n">
        <v>99.2325402916347</v>
      </c>
      <c r="C164" s="3" t="n">
        <v>5550.99119047619</v>
      </c>
      <c r="D164" s="4" t="n">
        <f aca="false">LN(B164)</f>
        <v>4.5974659876351</v>
      </c>
      <c r="E164" s="4" t="n">
        <f aca="false">LN(C164)</f>
        <v>8.62173178367326</v>
      </c>
      <c r="F164" s="4" t="n">
        <f aca="false">D164-D163</f>
        <v>0</v>
      </c>
      <c r="G164" s="4" t="n">
        <f aca="false">E164-E163</f>
        <v>-0.00379395966529295</v>
      </c>
    </row>
    <row r="165" customFormat="false" ht="15" hidden="false" customHeight="false" outlineLevel="0" collapsed="false">
      <c r="A165" s="2" t="n">
        <v>42948</v>
      </c>
      <c r="B165" s="3" t="n">
        <v>99.3860322333077</v>
      </c>
      <c r="C165" s="3" t="n">
        <v>5596.31931818182</v>
      </c>
      <c r="D165" s="4" t="n">
        <f aca="false">LN(B165)</f>
        <v>4.59901158299688</v>
      </c>
      <c r="E165" s="4" t="n">
        <f aca="false">LN(C165)</f>
        <v>8.62986439601978</v>
      </c>
      <c r="F165" s="4" t="n">
        <f aca="false">D165-D164</f>
        <v>0.00154559536178045</v>
      </c>
      <c r="G165" s="4" t="n">
        <f aca="false">E165-E164</f>
        <v>0.00813261234651108</v>
      </c>
    </row>
    <row r="166" customFormat="false" ht="15" hidden="false" customHeight="false" outlineLevel="0" collapsed="false">
      <c r="A166" s="2" t="n">
        <v>42979</v>
      </c>
      <c r="B166" s="3" t="n">
        <v>99.7697620874904</v>
      </c>
      <c r="C166" s="3" t="n">
        <v>5658.91714285714</v>
      </c>
      <c r="D166" s="4" t="n">
        <f aca="false">LN(B166)</f>
        <v>4.60286515231287</v>
      </c>
      <c r="E166" s="4" t="n">
        <f aca="false">LN(C166)</f>
        <v>8.64098783537729</v>
      </c>
      <c r="F166" s="4" t="n">
        <f aca="false">D166-D165</f>
        <v>0.00385356931598935</v>
      </c>
      <c r="G166" s="4" t="n">
        <f aca="false">E166-E165</f>
        <v>0.011123439357517</v>
      </c>
    </row>
    <row r="167" customFormat="false" ht="15" hidden="false" customHeight="false" outlineLevel="0" collapsed="false">
      <c r="A167" s="2" t="n">
        <v>43009</v>
      </c>
      <c r="B167" s="3" t="n">
        <v>99.8465080583269</v>
      </c>
      <c r="C167" s="3" t="n">
        <v>5642.32214285714</v>
      </c>
      <c r="D167" s="4" t="n">
        <f aca="false">LN(B167)</f>
        <v>4.60363408737575</v>
      </c>
      <c r="E167" s="4" t="n">
        <f aca="false">LN(C167)</f>
        <v>8.63805098721255</v>
      </c>
      <c r="F167" s="4" t="n">
        <f aca="false">D167-D166</f>
        <v>0.000768935062877674</v>
      </c>
      <c r="G167" s="4" t="n">
        <f aca="false">E167-E166</f>
        <v>-0.00293684816473849</v>
      </c>
    </row>
    <row r="168" customFormat="false" ht="15" hidden="false" customHeight="false" outlineLevel="0" collapsed="false">
      <c r="A168" s="2" t="n">
        <v>43040</v>
      </c>
      <c r="B168" s="3" t="n">
        <v>99.8465080583269</v>
      </c>
      <c r="C168" s="3" t="n">
        <v>5655.51272727273</v>
      </c>
      <c r="D168" s="4" t="n">
        <f aca="false">LN(B168)</f>
        <v>4.60363408737575</v>
      </c>
      <c r="E168" s="4" t="n">
        <f aca="false">LN(C168)</f>
        <v>8.64038605239287</v>
      </c>
      <c r="F168" s="4" t="n">
        <f aca="false">D168-D167</f>
        <v>0</v>
      </c>
      <c r="G168" s="4" t="n">
        <f aca="false">E168-E167</f>
        <v>0.0023350651803149</v>
      </c>
    </row>
    <row r="169" customFormat="false" ht="15" hidden="false" customHeight="false" outlineLevel="0" collapsed="false">
      <c r="A169" s="2" t="n">
        <v>43070</v>
      </c>
      <c r="B169" s="3" t="n">
        <v>100</v>
      </c>
      <c r="C169" s="3" t="n">
        <v>5630.75944444444</v>
      </c>
      <c r="D169" s="4" t="n">
        <f aca="false">LN(B169)</f>
        <v>4.60517018598809</v>
      </c>
      <c r="E169" s="4" t="n">
        <f aca="false">LN(C169)</f>
        <v>8.63599960447786</v>
      </c>
      <c r="F169" s="4" t="n">
        <f aca="false">D169-D168</f>
        <v>0.00153609861234028</v>
      </c>
      <c r="G169" s="4" t="n">
        <f aca="false">E169-E168</f>
        <v>-0.00438644791501197</v>
      </c>
    </row>
    <row r="170" customFormat="false" ht="15" hidden="false" customHeight="false" outlineLevel="0" collapsed="false">
      <c r="A170" s="2" t="n">
        <v>43101</v>
      </c>
      <c r="B170" s="3" t="n">
        <v>101.3</v>
      </c>
      <c r="C170" s="3" t="n">
        <v>5619.79886363636</v>
      </c>
      <c r="D170" s="4" t="n">
        <f aca="false">LN(B170)</f>
        <v>4.61808641125464</v>
      </c>
      <c r="E170" s="4" t="n">
        <f aca="false">LN(C170)</f>
        <v>8.63405115285873</v>
      </c>
      <c r="F170" s="4" t="n">
        <f aca="false">D170-D169</f>
        <v>0.0129162252665456</v>
      </c>
      <c r="G170" s="4" t="n">
        <f aca="false">E170-E169</f>
        <v>-0.00194845161912305</v>
      </c>
    </row>
    <row r="171" customFormat="false" ht="15" hidden="false" customHeight="false" outlineLevel="0" collapsed="false">
      <c r="A171" s="2" t="n">
        <v>43132</v>
      </c>
      <c r="B171" s="3" t="n">
        <v>101.5</v>
      </c>
      <c r="C171" s="3" t="n">
        <v>5583.5902631579</v>
      </c>
      <c r="D171" s="4" t="n">
        <f aca="false">LN(B171)</f>
        <v>4.62005879848184</v>
      </c>
      <c r="E171" s="4" t="n">
        <f aca="false">LN(C171)</f>
        <v>8.62758726480835</v>
      </c>
      <c r="F171" s="4" t="n">
        <f aca="false">D171-D170</f>
        <v>0.00197238722720439</v>
      </c>
      <c r="G171" s="4" t="n">
        <f aca="false">E171-E170</f>
        <v>-0.00646388805038178</v>
      </c>
    </row>
    <row r="172" customFormat="false" ht="15" hidden="false" customHeight="false" outlineLevel="0" collapsed="false">
      <c r="A172" s="2" t="n">
        <v>43160</v>
      </c>
      <c r="B172" s="3" t="n">
        <v>101.5</v>
      </c>
      <c r="C172" s="3" t="n">
        <v>5531.7945</v>
      </c>
      <c r="D172" s="4" t="n">
        <f aca="false">LN(B172)</f>
        <v>4.62005879848184</v>
      </c>
      <c r="E172" s="4" t="n">
        <f aca="false">LN(C172)</f>
        <v>8.61826754458924</v>
      </c>
      <c r="F172" s="4" t="n">
        <f aca="false">D172-D171</f>
        <v>0</v>
      </c>
      <c r="G172" s="4" t="n">
        <f aca="false">E172-E171</f>
        <v>-0.00931972021911065</v>
      </c>
    </row>
    <row r="173" customFormat="false" ht="15" hidden="false" customHeight="false" outlineLevel="0" collapsed="false">
      <c r="A173" s="2" t="n">
        <v>43191</v>
      </c>
      <c r="B173" s="3" t="n">
        <v>101.4</v>
      </c>
      <c r="C173" s="3" t="n">
        <v>5545.90428571429</v>
      </c>
      <c r="D173" s="4" t="n">
        <f aca="false">LN(B173)</f>
        <v>4.61907309115708</v>
      </c>
      <c r="E173" s="4" t="n">
        <f aca="false">LN(C173)</f>
        <v>8.62081496777117</v>
      </c>
      <c r="F173" s="4" t="n">
        <f aca="false">D173-D172</f>
        <v>-0.000985707324758778</v>
      </c>
      <c r="G173" s="4" t="n">
        <f aca="false">E173-E172</f>
        <v>0.00254742318192847</v>
      </c>
    </row>
    <row r="174" customFormat="false" ht="15" hidden="false" customHeight="false" outlineLevel="0" collapsed="false">
      <c r="A174" s="2" t="n">
        <v>43221</v>
      </c>
      <c r="B174" s="3" t="n">
        <v>102.1</v>
      </c>
      <c r="C174" s="3" t="n">
        <v>5642.48825</v>
      </c>
      <c r="D174" s="4" t="n">
        <f aca="false">LN(B174)</f>
        <v>4.62595272517062</v>
      </c>
      <c r="E174" s="4" t="n">
        <f aca="false">LN(C174)</f>
        <v>8.63808042627924</v>
      </c>
      <c r="F174" s="4" t="n">
        <f aca="false">D174-D173</f>
        <v>0.00687963401353642</v>
      </c>
      <c r="G174" s="4" t="n">
        <f aca="false">E174-E173</f>
        <v>0.0172654585080743</v>
      </c>
    </row>
    <row r="175" customFormat="false" ht="15" hidden="false" customHeight="false" outlineLevel="0" collapsed="false">
      <c r="A175" s="2" t="n">
        <v>43252</v>
      </c>
      <c r="B175" s="3" t="n">
        <v>103.9</v>
      </c>
      <c r="C175" s="3" t="n">
        <v>5685.004</v>
      </c>
      <c r="D175" s="4" t="n">
        <f aca="false">LN(B175)</f>
        <v>4.64342889810518</v>
      </c>
      <c r="E175" s="4" t="n">
        <f aca="false">LN(C175)</f>
        <v>8.64558710979037</v>
      </c>
      <c r="F175" s="4" t="n">
        <f aca="false">D175-D174</f>
        <v>0.0174761729345621</v>
      </c>
      <c r="G175" s="4" t="n">
        <f aca="false">E175-E174</f>
        <v>0.00750668351112616</v>
      </c>
    </row>
    <row r="176" customFormat="false" ht="15" hidden="false" customHeight="false" outlineLevel="0" collapsed="false">
      <c r="A176" s="2" t="n">
        <v>43282</v>
      </c>
      <c r="B176" s="3" t="n">
        <v>104.2</v>
      </c>
      <c r="C176" s="3" t="n">
        <v>5723.0275</v>
      </c>
      <c r="D176" s="4" t="n">
        <f aca="false">LN(B176)</f>
        <v>4.64631212931927</v>
      </c>
      <c r="E176" s="4" t="n">
        <f aca="false">LN(C176)</f>
        <v>8.65225322756967</v>
      </c>
      <c r="F176" s="4" t="n">
        <f aca="false">D176-D175</f>
        <v>0.00288323121408496</v>
      </c>
      <c r="G176" s="4" t="n">
        <f aca="false">E176-E175</f>
        <v>0.00666611777930015</v>
      </c>
    </row>
    <row r="177" customFormat="false" ht="15" hidden="false" customHeight="false" outlineLevel="0" collapsed="false">
      <c r="A177" s="2" t="n">
        <v>43313</v>
      </c>
      <c r="B177" s="3" t="n">
        <v>104.3</v>
      </c>
      <c r="C177" s="3" t="n">
        <v>5780.26545454546</v>
      </c>
      <c r="D177" s="4" t="n">
        <f aca="false">LN(B177)</f>
        <v>4.64727136200673</v>
      </c>
      <c r="E177" s="4" t="n">
        <f aca="false">LN(C177)</f>
        <v>8.66220488700379</v>
      </c>
      <c r="F177" s="4" t="n">
        <f aca="false">D177-D176</f>
        <v>0.000959232687460343</v>
      </c>
      <c r="G177" s="4" t="n">
        <f aca="false">E177-E176</f>
        <v>0.00995165943411713</v>
      </c>
    </row>
    <row r="178" customFormat="false" ht="15" hidden="false" customHeight="false" outlineLevel="0" collapsed="false">
      <c r="A178" s="2" t="n">
        <v>43344</v>
      </c>
      <c r="B178" s="3" t="n">
        <v>104.9</v>
      </c>
      <c r="C178" s="3" t="n">
        <v>5855.1445</v>
      </c>
      <c r="D178" s="4" t="n">
        <f aca="false">LN(B178)</f>
        <v>4.65300751540225</v>
      </c>
      <c r="E178" s="4" t="n">
        <f aca="false">LN(C178)</f>
        <v>8.67507595548817</v>
      </c>
      <c r="F178" s="4" t="n">
        <f aca="false">D178-D177</f>
        <v>0.00573615339552447</v>
      </c>
      <c r="G178" s="4" t="n">
        <f aca="false">E178-E177</f>
        <v>0.0128710684843796</v>
      </c>
    </row>
    <row r="179" customFormat="false" ht="15" hidden="false" customHeight="false" outlineLevel="0" collapsed="false">
      <c r="A179" s="2" t="n">
        <v>43374</v>
      </c>
      <c r="B179" s="3" t="n">
        <v>106.2</v>
      </c>
      <c r="C179" s="3" t="n">
        <v>5954.31565217391</v>
      </c>
      <c r="D179" s="4" t="n">
        <f aca="false">LN(B179)</f>
        <v>4.66532410880784</v>
      </c>
      <c r="E179" s="4" t="n">
        <f aca="false">LN(C179)</f>
        <v>8.69187155531557</v>
      </c>
      <c r="F179" s="4" t="n">
        <f aca="false">D179-D178</f>
        <v>0.0123165934055871</v>
      </c>
      <c r="G179" s="4" t="n">
        <f aca="false">E179-E178</f>
        <v>0.0167955998274003</v>
      </c>
    </row>
    <row r="180" customFormat="false" ht="15" hidden="false" customHeight="false" outlineLevel="0" collapsed="false">
      <c r="A180" s="2" t="n">
        <v>43405</v>
      </c>
      <c r="B180" s="3" t="n">
        <v>106.5</v>
      </c>
      <c r="C180" s="3" t="n">
        <v>5936.24613636364</v>
      </c>
      <c r="D180" s="4" t="n">
        <f aca="false">LN(B180)</f>
        <v>4.66814498514948</v>
      </c>
      <c r="E180" s="4" t="n">
        <f aca="false">LN(C180)</f>
        <v>8.68883224900839</v>
      </c>
      <c r="F180" s="4" t="n">
        <f aca="false">D180-D179</f>
        <v>0.00282087634164174</v>
      </c>
      <c r="G180" s="4" t="n">
        <f aca="false">E180-E179</f>
        <v>-0.00303930630717275</v>
      </c>
    </row>
    <row r="181" customFormat="false" ht="15" hidden="false" customHeight="false" outlineLevel="0" collapsed="false">
      <c r="A181" s="2" t="n">
        <v>43435</v>
      </c>
      <c r="B181" s="3" t="n">
        <v>106.4</v>
      </c>
      <c r="C181" s="3" t="n">
        <v>5927.67552631579</v>
      </c>
      <c r="D181" s="4" t="n">
        <f aca="false">LN(B181)</f>
        <v>4.66720557690754</v>
      </c>
      <c r="E181" s="4" t="n">
        <f aca="false">LN(C181)</f>
        <v>8.68738742970118</v>
      </c>
      <c r="F181" s="4" t="n">
        <f aca="false">D181-D180</f>
        <v>-0.000939408241936057</v>
      </c>
      <c r="G181" s="4" t="n">
        <f aca="false">E181-E180</f>
        <v>-0.00144481930721696</v>
      </c>
    </row>
    <row r="182" customFormat="false" ht="15" hidden="false" customHeight="false" outlineLevel="0" collapsed="false">
      <c r="A182" s="2" t="n">
        <v>43466</v>
      </c>
      <c r="B182" s="3" t="n">
        <v>105.9</v>
      </c>
      <c r="C182" s="3" t="n">
        <v>6038.73363636364</v>
      </c>
      <c r="D182" s="4" t="n">
        <f aca="false">LN(B182)</f>
        <v>4.66249525260736</v>
      </c>
      <c r="E182" s="4" t="n">
        <f aca="false">LN(C182)</f>
        <v>8.70594960609283</v>
      </c>
      <c r="F182" s="4" t="n">
        <f aca="false">D182-D181</f>
        <v>-0.00471032430018337</v>
      </c>
      <c r="G182" s="4" t="n">
        <f aca="false">E182-E181</f>
        <v>0.0185621763916526</v>
      </c>
    </row>
    <row r="183" customFormat="false" ht="15" hidden="false" customHeight="false" outlineLevel="0" collapsed="false">
      <c r="A183" s="2" t="n">
        <v>43497</v>
      </c>
      <c r="B183" s="3" t="n">
        <v>106</v>
      </c>
      <c r="C183" s="3" t="n">
        <v>6058.9365</v>
      </c>
      <c r="D183" s="4" t="n">
        <f aca="false">LN(B183)</f>
        <v>4.66343909411207</v>
      </c>
      <c r="E183" s="4" t="n">
        <f aca="false">LN(C183)</f>
        <v>8.7092895686128</v>
      </c>
      <c r="F183" s="4" t="n">
        <f aca="false">D183-D182</f>
        <v>0.000943841504706278</v>
      </c>
      <c r="G183" s="4" t="n">
        <f aca="false">E183-E182</f>
        <v>0.00333996251996815</v>
      </c>
    </row>
    <row r="184" customFormat="false" ht="15" hidden="false" customHeight="false" outlineLevel="0" collapsed="false">
      <c r="A184" s="2" t="n">
        <v>43525</v>
      </c>
      <c r="B184" s="3" t="n">
        <v>106.5</v>
      </c>
      <c r="C184" s="3" t="n">
        <v>6129.52925</v>
      </c>
      <c r="D184" s="4" t="n">
        <f aca="false">LN(B184)</f>
        <v>4.66814498514948</v>
      </c>
      <c r="E184" s="4" t="n">
        <f aca="false">LN(C184)</f>
        <v>8.72087323152791</v>
      </c>
      <c r="F184" s="4" t="n">
        <f aca="false">D184-D183</f>
        <v>0.00470589103741315</v>
      </c>
      <c r="G184" s="4" t="n">
        <f aca="false">E184-E183</f>
        <v>0.0115836629151076</v>
      </c>
    </row>
    <row r="185" customFormat="false" ht="15" hidden="false" customHeight="false" outlineLevel="0" collapsed="false">
      <c r="A185" s="2" t="n">
        <v>43556</v>
      </c>
      <c r="B185" s="3" t="n">
        <v>106.9</v>
      </c>
      <c r="C185" s="3" t="n">
        <v>6230.003</v>
      </c>
      <c r="D185" s="4" t="n">
        <f aca="false">LN(B185)</f>
        <v>4.671893818031</v>
      </c>
      <c r="E185" s="4" t="n">
        <f aca="false">LN(C185)</f>
        <v>8.73713209332231</v>
      </c>
      <c r="F185" s="4" t="n">
        <f aca="false">D185-D184</f>
        <v>0.00374883288151917</v>
      </c>
      <c r="G185" s="4" t="n">
        <f aca="false">E185-E184</f>
        <v>0.0162588617944088</v>
      </c>
    </row>
    <row r="186" customFormat="false" ht="15" hidden="false" customHeight="false" outlineLevel="0" collapsed="false">
      <c r="A186" s="2" t="n">
        <v>43586</v>
      </c>
      <c r="B186" s="3" t="n">
        <v>108.7</v>
      </c>
      <c r="C186" s="3" t="n">
        <v>6316.52125</v>
      </c>
      <c r="D186" s="4" t="n">
        <f aca="false">LN(B186)</f>
        <v>4.68859179412716</v>
      </c>
      <c r="E186" s="4" t="n">
        <f aca="false">LN(C186)</f>
        <v>8.75092390046929</v>
      </c>
      <c r="F186" s="4" t="n">
        <f aca="false">D186-D185</f>
        <v>0.0166979760961645</v>
      </c>
      <c r="G186" s="4" t="n">
        <f aca="false">E186-E185</f>
        <v>0.0137918071469798</v>
      </c>
    </row>
    <row r="187" customFormat="false" ht="15" hidden="false" customHeight="false" outlineLevel="0" collapsed="false">
      <c r="A187" s="2" t="n">
        <v>43617</v>
      </c>
      <c r="B187" s="3" t="n">
        <v>108.6</v>
      </c>
      <c r="C187" s="3" t="n">
        <v>6233.72447368421</v>
      </c>
      <c r="D187" s="4" t="n">
        <f aca="false">LN(B187)</f>
        <v>4.68767140749984</v>
      </c>
      <c r="E187" s="4" t="n">
        <f aca="false">LN(C187)</f>
        <v>8.73772926199479</v>
      </c>
      <c r="F187" s="4" t="n">
        <f aca="false">D187-D186</f>
        <v>-0.000920386627329073</v>
      </c>
      <c r="G187" s="4" t="n">
        <f aca="false">E187-E186</f>
        <v>-0.0131946384745003</v>
      </c>
    </row>
    <row r="188" customFormat="false" ht="15" hidden="false" customHeight="false" outlineLevel="0" collapsed="false">
      <c r="A188" s="2" t="n">
        <v>43647</v>
      </c>
      <c r="B188" s="3" t="n">
        <v>108.3</v>
      </c>
      <c r="C188" s="3" t="n">
        <v>6054.90956521739</v>
      </c>
      <c r="D188" s="4" t="n">
        <f aca="false">LN(B188)</f>
        <v>4.68490515400695</v>
      </c>
      <c r="E188" s="4" t="n">
        <f aca="false">LN(C188)</f>
        <v>8.70862472032114</v>
      </c>
      <c r="F188" s="4" t="n">
        <f aca="false">D188-D187</f>
        <v>-0.00276625349289006</v>
      </c>
      <c r="G188" s="4" t="n">
        <f aca="false">E188-E187</f>
        <v>-0.0291045416736555</v>
      </c>
    </row>
    <row r="189" customFormat="false" ht="15" hidden="false" customHeight="false" outlineLevel="0" collapsed="false">
      <c r="A189" s="2" t="n">
        <v>43678</v>
      </c>
      <c r="B189" s="3" t="n">
        <v>108.4</v>
      </c>
      <c r="C189" s="3" t="n">
        <v>6143.62904761905</v>
      </c>
      <c r="D189" s="4" t="n">
        <f aca="false">LN(B189)</f>
        <v>4.68582808900555</v>
      </c>
      <c r="E189" s="4" t="n">
        <f aca="false">LN(C189)</f>
        <v>8.7231708966407</v>
      </c>
      <c r="F189" s="4" t="n">
        <f aca="false">D189-D188</f>
        <v>0.000922934998601299</v>
      </c>
      <c r="G189" s="4" t="n">
        <f aca="false">E189-E188</f>
        <v>0.0145461763195573</v>
      </c>
    </row>
    <row r="190" customFormat="false" ht="15" hidden="false" customHeight="false" outlineLevel="0" collapsed="false">
      <c r="A190" s="2" t="n">
        <v>43709</v>
      </c>
      <c r="B190" s="3" t="n">
        <v>109.1</v>
      </c>
      <c r="C190" s="3" t="n">
        <v>6338.79619047619</v>
      </c>
      <c r="D190" s="4" t="n">
        <f aca="false">LN(B190)</f>
        <v>4.69226489283903</v>
      </c>
      <c r="E190" s="4" t="n">
        <f aca="false">LN(C190)</f>
        <v>8.75444415408346</v>
      </c>
      <c r="F190" s="4" t="n">
        <f aca="false">D190-D189</f>
        <v>0.00643680383347878</v>
      </c>
      <c r="G190" s="4" t="n">
        <f aca="false">E190-E189</f>
        <v>0.0312732574427628</v>
      </c>
    </row>
    <row r="191" customFormat="false" ht="15" hidden="false" customHeight="false" outlineLevel="0" collapsed="false">
      <c r="A191" s="2" t="n">
        <v>43739</v>
      </c>
      <c r="B191" s="3" t="n">
        <v>109.5</v>
      </c>
      <c r="C191" s="3" t="n">
        <v>6439.38195652174</v>
      </c>
      <c r="D191" s="4" t="n">
        <f aca="false">LN(B191)</f>
        <v>4.69592454925656</v>
      </c>
      <c r="E191" s="4" t="n">
        <f aca="false">LN(C191)</f>
        <v>8.77018784500883</v>
      </c>
      <c r="F191" s="4" t="n">
        <f aca="false">D191-D190</f>
        <v>0.00365965641753085</v>
      </c>
      <c r="G191" s="4" t="n">
        <f aca="false">E191-E190</f>
        <v>0.0157436909253743</v>
      </c>
    </row>
    <row r="192" customFormat="false" ht="15" hidden="false" customHeight="false" outlineLevel="0" collapsed="false">
      <c r="A192" s="2" t="n">
        <v>43770</v>
      </c>
      <c r="B192" s="3" t="n">
        <v>109.6</v>
      </c>
      <c r="C192" s="3" t="n">
        <v>6454.88857142857</v>
      </c>
      <c r="D192" s="4" t="n">
        <f aca="false">LN(B192)</f>
        <v>4.69683737451392</v>
      </c>
      <c r="E192" s="4" t="n">
        <f aca="false">LN(C192)</f>
        <v>8.77259304076592</v>
      </c>
      <c r="F192" s="4" t="n">
        <f aca="false">D192-D191</f>
        <v>0.000912825257359806</v>
      </c>
      <c r="G192" s="4" t="n">
        <f aca="false">E192-E191</f>
        <v>0.00240519575708476</v>
      </c>
    </row>
    <row r="193" customFormat="false" ht="15" hidden="false" customHeight="false" outlineLevel="0" collapsed="false">
      <c r="A193" s="2" t="n">
        <v>43800</v>
      </c>
      <c r="B193" s="3" t="n">
        <v>109.6</v>
      </c>
      <c r="C193" s="3" t="n">
        <v>6449.61125</v>
      </c>
      <c r="D193" s="4" t="n">
        <f aca="false">LN(B193)</f>
        <v>4.69683737451392</v>
      </c>
      <c r="E193" s="4" t="n">
        <f aca="false">LN(C193)</f>
        <v>8.7717751366556</v>
      </c>
      <c r="F193" s="4" t="n">
        <f aca="false">D193-D192</f>
        <v>0</v>
      </c>
      <c r="G193" s="4" t="n">
        <f aca="false">E193-E192</f>
        <v>-0.000817904110316903</v>
      </c>
    </row>
    <row r="194" customFormat="false" ht="15" hidden="false" customHeight="false" outlineLevel="0" collapsed="false">
      <c r="A194" s="2" t="n">
        <v>43831</v>
      </c>
      <c r="B194" s="3" t="n">
        <v>109.9</v>
      </c>
      <c r="C194" s="3" t="n">
        <v>6515.75977272727</v>
      </c>
      <c r="D194" s="4" t="n">
        <f aca="false">LN(B194)</f>
        <v>4.69957086140958</v>
      </c>
      <c r="E194" s="4" t="n">
        <f aca="false">LN(C194)</f>
        <v>8.78197910175062</v>
      </c>
      <c r="F194" s="4" t="n">
        <f aca="false">D194-D193</f>
        <v>0.00273348689566078</v>
      </c>
      <c r="G194" s="4" t="n">
        <f aca="false">E194-E193</f>
        <v>0.0102039650950179</v>
      </c>
    </row>
    <row r="195" customFormat="false" ht="15" hidden="false" customHeight="false" outlineLevel="0" collapsed="false">
      <c r="A195" s="2" t="n">
        <v>43862</v>
      </c>
      <c r="B195" s="3" t="n">
        <v>110</v>
      </c>
      <c r="C195" s="3" t="n">
        <v>6521.4485</v>
      </c>
      <c r="D195" s="4" t="n">
        <f aca="false">LN(B195)</f>
        <v>4.70048036579242</v>
      </c>
      <c r="E195" s="4" t="n">
        <f aca="false">LN(C195)</f>
        <v>8.78285179282294</v>
      </c>
      <c r="F195" s="4" t="n">
        <f aca="false">D195-D194</f>
        <v>0.000909504382840431</v>
      </c>
      <c r="G195" s="4" t="n">
        <f aca="false">E195-E194</f>
        <v>0.000872691072316911</v>
      </c>
    </row>
    <row r="196" customFormat="false" ht="15" hidden="false" customHeight="false" outlineLevel="0" collapsed="false">
      <c r="A196" s="2" t="n">
        <v>43891</v>
      </c>
      <c r="B196" s="3" t="n">
        <v>109.9</v>
      </c>
      <c r="C196" s="3" t="n">
        <v>6576.65568181818</v>
      </c>
      <c r="D196" s="4" t="n">
        <f aca="false">LN(B196)</f>
        <v>4.69957086140958</v>
      </c>
      <c r="E196" s="4" t="n">
        <f aca="false">LN(C196)</f>
        <v>8.79128164007116</v>
      </c>
      <c r="F196" s="4" t="n">
        <f aca="false">D196-D195</f>
        <v>-0.000909504382840431</v>
      </c>
      <c r="G196" s="4" t="n">
        <f aca="false">E196-E195</f>
        <v>0.00842984724822316</v>
      </c>
    </row>
    <row r="197" customFormat="false" ht="15" hidden="false" customHeight="false" outlineLevel="0" collapsed="false">
      <c r="A197" s="2" t="n">
        <v>43922</v>
      </c>
      <c r="B197" s="3" t="n">
        <v>109</v>
      </c>
      <c r="C197" s="3" t="n">
        <v>6510.18263157895</v>
      </c>
      <c r="D197" s="4" t="n">
        <f aca="false">LN(B197)</f>
        <v>4.69134788222914</v>
      </c>
      <c r="E197" s="4" t="n">
        <f aca="false">LN(C197)</f>
        <v>8.78112278881509</v>
      </c>
      <c r="F197" s="4" t="n">
        <f aca="false">D197-D196</f>
        <v>-0.00822297918043269</v>
      </c>
      <c r="G197" s="4" t="n">
        <f aca="false">E197-E196</f>
        <v>-0.0101588512560671</v>
      </c>
    </row>
    <row r="198" customFormat="false" ht="15" hidden="false" customHeight="false" outlineLevel="0" collapsed="false">
      <c r="A198" s="2" t="n">
        <v>43952</v>
      </c>
      <c r="B198" s="3" t="n">
        <v>108.9</v>
      </c>
      <c r="C198" s="3" t="n">
        <v>6589.56416666667</v>
      </c>
      <c r="D198" s="4" t="n">
        <f aca="false">LN(B198)</f>
        <v>4.69043002993892</v>
      </c>
      <c r="E198" s="4" t="n">
        <f aca="false">LN(C198)</f>
        <v>8.79324248975057</v>
      </c>
      <c r="F198" s="4" t="n">
        <f aca="false">D198-D197</f>
        <v>-0.000917852290228893</v>
      </c>
      <c r="G198" s="4" t="n">
        <f aca="false">E198-E197</f>
        <v>0.0121197009354823</v>
      </c>
    </row>
    <row r="199" customFormat="false" ht="15" hidden="false" customHeight="false" outlineLevel="0" collapsed="false">
      <c r="A199" s="2" t="n">
        <v>43983</v>
      </c>
      <c r="B199" s="3" t="n">
        <v>109.1</v>
      </c>
      <c r="C199" s="3" t="n">
        <v>6708.4919047619</v>
      </c>
      <c r="D199" s="4" t="n">
        <f aca="false">LN(B199)</f>
        <v>4.69226489283903</v>
      </c>
      <c r="E199" s="4" t="n">
        <f aca="false">LN(C199)</f>
        <v>8.81112945131621</v>
      </c>
      <c r="F199" s="4" t="n">
        <f aca="false">D199-D198</f>
        <v>0.00183486290011015</v>
      </c>
      <c r="G199" s="4" t="n">
        <f aca="false">E199-E198</f>
        <v>0.0178869615656385</v>
      </c>
    </row>
    <row r="200" customFormat="false" ht="15" hidden="false" customHeight="false" outlineLevel="0" collapsed="false">
      <c r="A200" s="2" t="n">
        <v>44013</v>
      </c>
      <c r="B200" s="3" t="n">
        <v>109.9</v>
      </c>
      <c r="C200" s="3" t="n">
        <v>6900.73</v>
      </c>
      <c r="D200" s="4" t="n">
        <f aca="false">LN(B200)</f>
        <v>4.69957086140958</v>
      </c>
      <c r="E200" s="4" t="n">
        <f aca="false">LN(C200)</f>
        <v>8.83938248209068</v>
      </c>
      <c r="F200" s="4" t="n">
        <f aca="false">D200-D199</f>
        <v>0.00730596857055144</v>
      </c>
      <c r="G200" s="4" t="n">
        <f aca="false">E200-E199</f>
        <v>0.0282530307744686</v>
      </c>
    </row>
    <row r="201" customFormat="false" ht="15" hidden="false" customHeight="false" outlineLevel="0" collapsed="false">
      <c r="A201" s="2" t="n">
        <v>44044</v>
      </c>
      <c r="B201" s="3" t="n">
        <v>110.6</v>
      </c>
      <c r="C201" s="3" t="n">
        <v>6950.94928571429</v>
      </c>
      <c r="D201" s="4" t="n">
        <f aca="false">LN(B201)</f>
        <v>4.70592008908823</v>
      </c>
      <c r="E201" s="4" t="n">
        <f aca="false">LN(C201)</f>
        <v>8.84663351710412</v>
      </c>
      <c r="F201" s="4" t="n">
        <f aca="false">D201-D200</f>
        <v>0.00634922767865831</v>
      </c>
      <c r="G201" s="4" t="n">
        <f aca="false">E201-E200</f>
        <v>0.00725103501344115</v>
      </c>
    </row>
    <row r="202" customFormat="false" ht="15" hidden="false" customHeight="false" outlineLevel="0" collapsed="false">
      <c r="A202" s="2" t="n">
        <v>44075</v>
      </c>
      <c r="B202" s="3" t="n">
        <v>110.9</v>
      </c>
      <c r="C202" s="3" t="n">
        <v>6984.9419047619</v>
      </c>
      <c r="D202" s="4" t="n">
        <f aca="false">LN(B202)</f>
        <v>4.70862889435632</v>
      </c>
      <c r="E202" s="4" t="n">
        <f aca="false">LN(C202)</f>
        <v>8.8515119545143</v>
      </c>
      <c r="F202" s="4" t="n">
        <f aca="false">D202-D201</f>
        <v>0.00270880526808703</v>
      </c>
      <c r="G202" s="4" t="n">
        <f aca="false">E202-E201</f>
        <v>0.00487843741017713</v>
      </c>
    </row>
    <row r="203" customFormat="false" ht="15" hidden="false" customHeight="false" outlineLevel="0" collapsed="false">
      <c r="A203" s="2" t="n">
        <v>44105</v>
      </c>
      <c r="B203" s="3" t="n">
        <v>111.1</v>
      </c>
      <c r="C203" s="3" t="n">
        <v>7018.63590909091</v>
      </c>
      <c r="D203" s="4" t="n">
        <f aca="false">LN(B203)</f>
        <v>4.71043069664558</v>
      </c>
      <c r="E203" s="4" t="n">
        <f aca="false">LN(C203)</f>
        <v>8.85632416319395</v>
      </c>
      <c r="F203" s="4" t="n">
        <f aca="false">D203-D202</f>
        <v>0.00180180228926297</v>
      </c>
      <c r="G203" s="4" t="n">
        <f aca="false">E203-E202</f>
        <v>0.00481220867964893</v>
      </c>
    </row>
    <row r="204" customFormat="false" ht="15" hidden="false" customHeight="false" outlineLevel="0" collapsed="false">
      <c r="A204" s="2" t="n">
        <v>44136</v>
      </c>
      <c r="B204" s="3" t="n">
        <v>111.5</v>
      </c>
      <c r="C204" s="3" t="n">
        <v>7031.8280952381</v>
      </c>
      <c r="D204" s="4" t="n">
        <f aca="false">LN(B204)</f>
        <v>4.71402459090017</v>
      </c>
      <c r="E204" s="4" t="n">
        <f aca="false">LN(C204)</f>
        <v>8.85820199299654</v>
      </c>
      <c r="F204" s="4" t="n">
        <f aca="false">D204-D203</f>
        <v>0.003593894254589</v>
      </c>
      <c r="G204" s="4" t="n">
        <f aca="false">E204-E203</f>
        <v>0.00187782980258788</v>
      </c>
    </row>
    <row r="205" customFormat="false" ht="15" hidden="false" customHeight="false" outlineLevel="0" collapsed="false">
      <c r="A205" s="2" t="n">
        <v>44166</v>
      </c>
      <c r="B205" s="3" t="n">
        <v>111.6</v>
      </c>
      <c r="C205" s="3" t="n">
        <v>6943.98125</v>
      </c>
      <c r="D205" s="4" t="n">
        <f aca="false">LN(B205)</f>
        <v>4.71492104994721</v>
      </c>
      <c r="E205" s="4" t="n">
        <f aca="false">LN(C205)</f>
        <v>8.84563055616373</v>
      </c>
      <c r="F205" s="4" t="n">
        <f aca="false">D205-D204</f>
        <v>0.000896459047036835</v>
      </c>
      <c r="G205" s="4" t="n">
        <f aca="false">E205-E204</f>
        <v>-0.0125714368328058</v>
      </c>
    </row>
    <row r="206" customFormat="false" ht="15" hidden="false" customHeight="false" outlineLevel="0" collapsed="false">
      <c r="A206" s="2" t="n">
        <v>44197</v>
      </c>
      <c r="B206" s="3" t="n">
        <v>111.6</v>
      </c>
      <c r="C206" s="3" t="n">
        <v>6902.8255</v>
      </c>
      <c r="D206" s="4" t="n">
        <f aca="false">LN(B206)</f>
        <v>4.71492104994721</v>
      </c>
      <c r="E206" s="4" t="n">
        <f aca="false">LN(C206)</f>
        <v>8.8396860995197</v>
      </c>
      <c r="F206" s="4" t="n">
        <f aca="false">D206-D205</f>
        <v>0</v>
      </c>
      <c r="G206" s="4" t="n">
        <f aca="false">E206-E205</f>
        <v>-0.00594445664403231</v>
      </c>
    </row>
    <row r="207" customFormat="false" ht="15" hidden="false" customHeight="false" outlineLevel="0" collapsed="false">
      <c r="A207" s="2" t="n">
        <v>44228</v>
      </c>
      <c r="B207" s="3" t="n">
        <v>111.8</v>
      </c>
      <c r="C207" s="3" t="n">
        <v>6723.152</v>
      </c>
      <c r="D207" s="4" t="n">
        <f aca="false">LN(B207)</f>
        <v>4.716711560721</v>
      </c>
      <c r="E207" s="4" t="n">
        <f aca="false">LN(C207)</f>
        <v>8.81331237116779</v>
      </c>
      <c r="F207" s="4" t="n">
        <f aca="false">D207-D206</f>
        <v>0.00179051077378833</v>
      </c>
      <c r="G207" s="4" t="n">
        <f aca="false">E207-E206</f>
        <v>-0.0263737283519045</v>
      </c>
    </row>
    <row r="208" customFormat="false" ht="15" hidden="false" customHeight="false" outlineLevel="0" collapsed="false">
      <c r="A208" s="2" t="n">
        <v>44256</v>
      </c>
      <c r="B208" s="3" t="n">
        <v>112.8</v>
      </c>
      <c r="C208" s="3" t="n">
        <v>6539.74840909091</v>
      </c>
      <c r="D208" s="4" t="n">
        <f aca="false">LN(B208)</f>
        <v>4.72561633906396</v>
      </c>
      <c r="E208" s="4" t="n">
        <f aca="false">LN(C208)</f>
        <v>8.78565397415331</v>
      </c>
      <c r="F208" s="4" t="n">
        <f aca="false">D208-D207</f>
        <v>0.00890477834296011</v>
      </c>
      <c r="G208" s="4" t="n">
        <f aca="false">E208-E207</f>
        <v>-0.0276583970144859</v>
      </c>
    </row>
    <row r="209" customFormat="false" ht="15" hidden="false" customHeight="false" outlineLevel="0" collapsed="false">
      <c r="A209" s="2" t="n">
        <v>44287</v>
      </c>
      <c r="B209" s="3" t="n">
        <v>112.8</v>
      </c>
      <c r="C209" s="3" t="n">
        <v>6410.74875</v>
      </c>
      <c r="D209" s="4" t="n">
        <f aca="false">LN(B209)</f>
        <v>4.72561633906396</v>
      </c>
      <c r="E209" s="4" t="n">
        <f aca="false">LN(C209)</f>
        <v>8.76573135276538</v>
      </c>
      <c r="F209" s="4" t="n">
        <f aca="false">D209-D208</f>
        <v>0</v>
      </c>
      <c r="G209" s="4" t="n">
        <f aca="false">E209-E208</f>
        <v>-0.0199226213879236</v>
      </c>
    </row>
    <row r="210" customFormat="false" ht="15" hidden="false" customHeight="false" outlineLevel="0" collapsed="false">
      <c r="A210" s="2" t="n">
        <v>44317</v>
      </c>
      <c r="B210" s="3" t="n">
        <v>114.2</v>
      </c>
      <c r="C210" s="3" t="n">
        <v>6717.37975</v>
      </c>
      <c r="D210" s="4" t="n">
        <f aca="false">LN(B210)</f>
        <v>4.73795129722191</v>
      </c>
      <c r="E210" s="4" t="n">
        <f aca="false">LN(C210)</f>
        <v>8.81245343932458</v>
      </c>
      <c r="F210" s="4" t="n">
        <f aca="false">D210-D209</f>
        <v>0.0123349581579513</v>
      </c>
      <c r="G210" s="4" t="n">
        <f aca="false">E210-E209</f>
        <v>0.0467220865591997</v>
      </c>
    </row>
    <row r="211" customFormat="false" ht="15" hidden="false" customHeight="false" outlineLevel="0" collapsed="false">
      <c r="A211" s="2" t="n">
        <v>44348</v>
      </c>
      <c r="B211" s="3" t="n">
        <v>115.5</v>
      </c>
      <c r="C211" s="3" t="n">
        <v>6744.51181818182</v>
      </c>
      <c r="D211" s="4" t="n">
        <f aca="false">LN(B211)</f>
        <v>4.74927052996185</v>
      </c>
      <c r="E211" s="4" t="n">
        <f aca="false">LN(C211)</f>
        <v>8.81648438917773</v>
      </c>
      <c r="F211" s="4" t="n">
        <f aca="false">D211-D210</f>
        <v>0.0113192327399378</v>
      </c>
      <c r="G211" s="4" t="n">
        <f aca="false">E211-E210</f>
        <v>0.00403094985314212</v>
      </c>
    </row>
    <row r="212" customFormat="false" ht="15" hidden="false" customHeight="false" outlineLevel="0" collapsed="false">
      <c r="A212" s="2" t="n">
        <v>44378</v>
      </c>
      <c r="B212" s="3" t="n">
        <v>117.9</v>
      </c>
      <c r="C212" s="3" t="n">
        <v>6848.17681818182</v>
      </c>
      <c r="D212" s="4" t="n">
        <f aca="false">LN(B212)</f>
        <v>4.76983680754333</v>
      </c>
      <c r="E212" s="4" t="n">
        <f aca="false">LN(C212)</f>
        <v>8.8317377379003</v>
      </c>
      <c r="F212" s="4" t="n">
        <f aca="false">D212-D211</f>
        <v>0.0205662775814774</v>
      </c>
      <c r="G212" s="4" t="n">
        <f aca="false">E212-E211</f>
        <v>0.0152533487225757</v>
      </c>
    </row>
    <row r="213" customFormat="false" ht="15" hidden="false" customHeight="false" outlineLevel="0" collapsed="false">
      <c r="A213" s="2" t="n">
        <v>44409</v>
      </c>
      <c r="B213" s="3" t="n">
        <v>118.6</v>
      </c>
      <c r="C213" s="3" t="n">
        <v>6926.45772727273</v>
      </c>
      <c r="D213" s="4" t="n">
        <f aca="false">LN(B213)</f>
        <v>4.77575648656363</v>
      </c>
      <c r="E213" s="4" t="n">
        <f aca="false">LN(C213)</f>
        <v>8.84310381103632</v>
      </c>
      <c r="F213" s="4" t="n">
        <f aca="false">D213-D212</f>
        <v>0.0059196790203</v>
      </c>
      <c r="G213" s="4" t="n">
        <f aca="false">E213-E212</f>
        <v>0.0113660731360188</v>
      </c>
    </row>
    <row r="214" customFormat="false" ht="15" hidden="false" customHeight="false" outlineLevel="0" collapsed="false">
      <c r="A214" s="2" t="n">
        <v>44440</v>
      </c>
      <c r="B214" s="3" t="n">
        <v>119.1</v>
      </c>
      <c r="C214" s="3" t="n">
        <v>6898.75595238095</v>
      </c>
      <c r="D214" s="4" t="n">
        <f aca="false">LN(B214)</f>
        <v>4.77996347636125</v>
      </c>
      <c r="E214" s="4" t="n">
        <f aca="false">LN(C214)</f>
        <v>8.83909637757355</v>
      </c>
      <c r="F214" s="4" t="n">
        <f aca="false">D214-D213</f>
        <v>0.00420698979762868</v>
      </c>
      <c r="G214" s="4" t="n">
        <f aca="false">E214-E213</f>
        <v>-0.00400743346276755</v>
      </c>
    </row>
    <row r="215" customFormat="false" ht="15" hidden="false" customHeight="false" outlineLevel="0" collapsed="false">
      <c r="A215" s="2" t="n">
        <v>44470</v>
      </c>
      <c r="B215" s="3" t="n">
        <v>122.1</v>
      </c>
      <c r="C215" s="3" t="n">
        <v>6907.00619047619</v>
      </c>
      <c r="D215" s="4" t="n">
        <f aca="false">LN(B215)</f>
        <v>4.80484038111666</v>
      </c>
      <c r="E215" s="4" t="n">
        <f aca="false">LN(C215)</f>
        <v>8.84029156534978</v>
      </c>
      <c r="F215" s="4" t="n">
        <f aca="false">D215-D214</f>
        <v>0.0248769047554047</v>
      </c>
      <c r="G215" s="4" t="n">
        <f aca="false">E215-E214</f>
        <v>0.00119518777623107</v>
      </c>
    </row>
    <row r="216" customFormat="false" ht="15" hidden="false" customHeight="false" outlineLevel="0" collapsed="false">
      <c r="A216" s="2" t="n">
        <v>44501</v>
      </c>
      <c r="B216" s="3" t="n">
        <v>122.7</v>
      </c>
      <c r="C216" s="3" t="n">
        <v>6855.64704545455</v>
      </c>
      <c r="D216" s="4" t="n">
        <f aca="false">LN(B216)</f>
        <v>4.80974235171687</v>
      </c>
      <c r="E216" s="4" t="n">
        <f aca="false">LN(C216)</f>
        <v>8.83282797783435</v>
      </c>
      <c r="F216" s="4" t="n">
        <f aca="false">D216-D215</f>
        <v>0.0049019706002067</v>
      </c>
      <c r="G216" s="4" t="n">
        <f aca="false">E216-E215</f>
        <v>-0.00746358751543141</v>
      </c>
    </row>
    <row r="217" customFormat="false" ht="15" hidden="false" customHeight="false" outlineLevel="0" collapsed="false">
      <c r="A217" s="2" t="n">
        <v>44531</v>
      </c>
      <c r="B217" s="3" t="n">
        <v>121.8</v>
      </c>
      <c r="C217" s="3" t="n">
        <v>6815.54285714286</v>
      </c>
      <c r="D217" s="4" t="n">
        <f aca="false">LN(B217)</f>
        <v>4.8023803552758</v>
      </c>
      <c r="E217" s="4" t="n">
        <f aca="false">LN(C217)</f>
        <v>8.82696099717877</v>
      </c>
      <c r="F217" s="4" t="n">
        <f aca="false">D217-D216</f>
        <v>-0.00736199644106872</v>
      </c>
      <c r="G217" s="4" t="n">
        <f aca="false">E217-E216</f>
        <v>-0.00586698065558622</v>
      </c>
    </row>
    <row r="218" customFormat="false" ht="15" hidden="false" customHeight="false" outlineLevel="0" collapsed="false">
      <c r="A218" s="2" t="n">
        <v>44562</v>
      </c>
      <c r="B218" s="3" t="n">
        <v>123.6</v>
      </c>
      <c r="C218" s="3" t="n">
        <v>6986.95904761905</v>
      </c>
      <c r="D218" s="4" t="n">
        <f aca="false">LN(B218)</f>
        <v>4.81705054502359</v>
      </c>
      <c r="E218" s="4" t="n">
        <f aca="false">LN(C218)</f>
        <v>8.85180069731</v>
      </c>
      <c r="F218" s="4" t="n">
        <f aca="false">D218-D217</f>
        <v>0.0146701897477941</v>
      </c>
      <c r="G218" s="4" t="n">
        <f aca="false">E218-E217</f>
        <v>0.0248397001312384</v>
      </c>
    </row>
    <row r="219" customFormat="false" ht="15" hidden="false" customHeight="false" outlineLevel="0" collapsed="false">
      <c r="A219" s="2" t="n">
        <v>44593</v>
      </c>
      <c r="B219" s="3" t="n">
        <v>126.1</v>
      </c>
      <c r="C219" s="3" t="n">
        <v>6966.15131578947</v>
      </c>
      <c r="D219" s="4" t="n">
        <f aca="false">LN(B219)</f>
        <v>4.83707524297087</v>
      </c>
      <c r="E219" s="4" t="n">
        <f aca="false">LN(C219)</f>
        <v>8.84881817273847</v>
      </c>
      <c r="F219" s="4" t="n">
        <f aca="false">D219-D218</f>
        <v>0.0200246979472833</v>
      </c>
      <c r="G219" s="4" t="n">
        <f aca="false">E219-E218</f>
        <v>-0.00298252457153225</v>
      </c>
    </row>
    <row r="220" customFormat="false" ht="15" hidden="false" customHeight="false" outlineLevel="0" collapsed="false">
      <c r="A220" s="2" t="n">
        <v>44621</v>
      </c>
      <c r="B220" s="3" t="n">
        <v>128.3</v>
      </c>
      <c r="C220" s="3" t="n">
        <v>6962.94413043478</v>
      </c>
      <c r="D220" s="4" t="n">
        <f aca="false">LN(B220)</f>
        <v>4.85437127162159</v>
      </c>
      <c r="E220" s="4" t="n">
        <f aca="false">LN(C220)</f>
        <v>8.8483576711325</v>
      </c>
      <c r="F220" s="4" t="n">
        <f aca="false">D220-D219</f>
        <v>0.0172960286507164</v>
      </c>
      <c r="G220" s="4" t="n">
        <f aca="false">E220-E219</f>
        <v>-0.000460501605973107</v>
      </c>
    </row>
    <row r="221" customFormat="false" ht="15" hidden="false" customHeight="false" outlineLevel="0" collapsed="false">
      <c r="A221" s="2" t="n">
        <v>44652</v>
      </c>
      <c r="B221" s="3" t="n">
        <v>132.4</v>
      </c>
      <c r="C221" s="3" t="n">
        <v>6851.93894736842</v>
      </c>
      <c r="D221" s="4" t="n">
        <f aca="false">LN(B221)</f>
        <v>4.88582764350291</v>
      </c>
      <c r="E221" s="4" t="n">
        <f aca="false">LN(C221)</f>
        <v>8.8322869492129</v>
      </c>
      <c r="F221" s="4" t="n">
        <f aca="false">D221-D220</f>
        <v>0.0314563718813172</v>
      </c>
      <c r="G221" s="4" t="n">
        <f aca="false">E221-E220</f>
        <v>-0.0160707219196006</v>
      </c>
    </row>
    <row r="222" customFormat="false" ht="15" hidden="false" customHeight="false" outlineLevel="0" collapsed="false">
      <c r="A222" s="2" t="n">
        <v>44682</v>
      </c>
      <c r="B222" s="3" t="n">
        <v>133</v>
      </c>
      <c r="C222" s="3" t="n">
        <v>6852.80142857143</v>
      </c>
      <c r="D222" s="4" t="n">
        <f aca="false">LN(B222)</f>
        <v>4.89034912822175</v>
      </c>
      <c r="E222" s="4" t="n">
        <f aca="false">LN(C222)</f>
        <v>8.83241281532645</v>
      </c>
      <c r="F222" s="4" t="n">
        <f aca="false">D222-D221</f>
        <v>0.00452148471884595</v>
      </c>
      <c r="G222" s="4" t="n">
        <f aca="false">E222-E221</f>
        <v>0.000125866113547701</v>
      </c>
    </row>
    <row r="223" customFormat="false" ht="15" hidden="false" customHeight="false" outlineLevel="0" collapsed="false">
      <c r="A223" s="2" t="n">
        <v>44713</v>
      </c>
      <c r="B223" s="3" t="n">
        <v>134.6</v>
      </c>
      <c r="C223" s="3" t="n">
        <v>6858.11159090909</v>
      </c>
      <c r="D223" s="4" t="n">
        <f aca="false">LN(B223)</f>
        <v>4.90230741721063</v>
      </c>
      <c r="E223" s="4" t="n">
        <f aca="false">LN(C223)</f>
        <v>8.83318740453077</v>
      </c>
      <c r="F223" s="4" t="n">
        <f aca="false">D223-D222</f>
        <v>0.0119582889888736</v>
      </c>
      <c r="G223" s="4" t="n">
        <f aca="false">E223-E222</f>
        <v>0.000774589204326048</v>
      </c>
    </row>
    <row r="224" customFormat="false" ht="15" hidden="false" customHeight="false" outlineLevel="0" collapsed="false">
      <c r="A224" s="2" t="n">
        <v>44743</v>
      </c>
      <c r="B224" s="3" t="n">
        <v>136.4</v>
      </c>
      <c r="C224" s="3" t="n">
        <v>6868.38190476191</v>
      </c>
      <c r="D224" s="4" t="n">
        <f aca="false">LN(B224)</f>
        <v>4.91559174540936</v>
      </c>
      <c r="E224" s="4" t="n">
        <f aca="false">LN(C224)</f>
        <v>8.83468382687236</v>
      </c>
      <c r="F224" s="4" t="n">
        <f aca="false">D224-D223</f>
        <v>0.0132843281987345</v>
      </c>
      <c r="G224" s="4" t="n">
        <f aca="false">E224-E223</f>
        <v>0.00149642234159231</v>
      </c>
    </row>
    <row r="225" customFormat="false" ht="15" hidden="false" customHeight="false" outlineLevel="0" collapsed="false">
      <c r="A225" s="2" t="n">
        <v>44774</v>
      </c>
      <c r="B225" s="3" t="n">
        <v>135.6</v>
      </c>
      <c r="C225" s="3" t="n">
        <v>6874.47227272727</v>
      </c>
      <c r="D225" s="4" t="n">
        <f aca="false">LN(B225)</f>
        <v>4.9097093755063</v>
      </c>
      <c r="E225" s="4" t="n">
        <f aca="false">LN(C225)</f>
        <v>8.83557015925797</v>
      </c>
      <c r="F225" s="4" t="n">
        <f aca="false">D225-D224</f>
        <v>-0.00588236990306701</v>
      </c>
      <c r="G225" s="4" t="n">
        <f aca="false">E225-E224</f>
        <v>0.00088633238560476</v>
      </c>
    </row>
    <row r="226" customFormat="false" ht="15" hidden="false" customHeight="false" outlineLevel="0" collapsed="false">
      <c r="A226" s="2" t="n">
        <v>44805</v>
      </c>
      <c r="B226" s="3" t="n">
        <v>136.2</v>
      </c>
      <c r="C226" s="3" t="n">
        <v>6974.23545454546</v>
      </c>
      <c r="D226" s="4" t="n">
        <f aca="false">LN(B226)</f>
        <v>4.91412439371541</v>
      </c>
      <c r="E226" s="4" t="n">
        <f aca="false">LN(C226)</f>
        <v>8.84997798843016</v>
      </c>
      <c r="F226" s="4" t="n">
        <f aca="false">D226-D225</f>
        <v>0.00441501820911672</v>
      </c>
      <c r="G226" s="4" t="n">
        <f aca="false">E226-E225</f>
        <v>0.0144078291721872</v>
      </c>
    </row>
    <row r="227" customFormat="false" ht="15" hidden="false" customHeight="false" outlineLevel="0" collapsed="false">
      <c r="A227" s="2" t="n">
        <v>44835</v>
      </c>
      <c r="B227" s="3" t="n">
        <v>136.4</v>
      </c>
      <c r="C227" s="3" t="n">
        <v>7176.84425</v>
      </c>
      <c r="D227" s="4" t="n">
        <f aca="false">LN(B227)</f>
        <v>4.91559174540936</v>
      </c>
      <c r="E227" s="4" t="n">
        <f aca="false">LN(C227)</f>
        <v>8.87861504592666</v>
      </c>
      <c r="F227" s="4" t="n">
        <f aca="false">D227-D226</f>
        <v>0.00146735169395029</v>
      </c>
      <c r="G227" s="4" t="n">
        <f aca="false">E227-E226</f>
        <v>0.0286370574964998</v>
      </c>
    </row>
    <row r="228" customFormat="false" ht="15" hidden="false" customHeight="false" outlineLevel="0" collapsed="false">
      <c r="A228" s="2" t="n">
        <v>44866</v>
      </c>
      <c r="B228" s="3" t="n">
        <v>138</v>
      </c>
      <c r="C228" s="3" t="n">
        <v>7181.52619047619</v>
      </c>
      <c r="D228" s="4" t="n">
        <f aca="false">LN(B228)</f>
        <v>4.92725368515721</v>
      </c>
      <c r="E228" s="4" t="n">
        <f aca="false">LN(C228)</f>
        <v>8.87926720080197</v>
      </c>
      <c r="F228" s="4" t="n">
        <f aca="false">D228-D227</f>
        <v>0.0116619397478432</v>
      </c>
      <c r="G228" s="4" t="n">
        <f aca="false">E228-E227</f>
        <v>0.000652154875309563</v>
      </c>
    </row>
    <row r="229" customFormat="false" ht="15" hidden="false" customHeight="false" outlineLevel="0" collapsed="false">
      <c r="A229" s="2" t="n">
        <v>44896</v>
      </c>
      <c r="B229" s="3" t="n">
        <v>137.7</v>
      </c>
      <c r="C229" s="3" t="n">
        <v>7238.662</v>
      </c>
      <c r="D229" s="4" t="n">
        <f aca="false">LN(B229)</f>
        <v>4.92507740573461</v>
      </c>
      <c r="E229" s="4" t="n">
        <f aca="false">LN(C229)</f>
        <v>8.88719166167108</v>
      </c>
      <c r="F229" s="4" t="n">
        <f aca="false">D229-D228</f>
        <v>-0.00217627942259568</v>
      </c>
      <c r="G229" s="4" t="n">
        <f aca="false">E229-E228</f>
        <v>0.00792446086911269</v>
      </c>
    </row>
    <row r="230" customFormat="false" ht="15" hidden="false" customHeight="false" outlineLevel="0" collapsed="false">
      <c r="A230" s="2" t="n">
        <v>44927</v>
      </c>
      <c r="B230" s="3" t="n">
        <v>139.4</v>
      </c>
      <c r="C230" s="3" t="n">
        <v>7373.17068181818</v>
      </c>
      <c r="D230" s="4" t="n">
        <f aca="false">LN(B230)</f>
        <v>4.93734749832642</v>
      </c>
      <c r="E230" s="4" t="n">
        <f aca="false">LN(C230)</f>
        <v>8.90560310729694</v>
      </c>
      <c r="F230" s="4" t="n">
        <f aca="false">D230-D229</f>
        <v>0.0122700925918142</v>
      </c>
      <c r="G230" s="4" t="n">
        <f aca="false">E230-E229</f>
        <v>0.0184114456258566</v>
      </c>
    </row>
    <row r="231" customFormat="false" ht="15" hidden="false" customHeight="false" outlineLevel="0" collapsed="false">
      <c r="A231" s="2" t="n">
        <v>44958</v>
      </c>
      <c r="B231" s="3" t="n">
        <v>139.4</v>
      </c>
      <c r="C231" s="3" t="n">
        <v>7292.05763157895</v>
      </c>
      <c r="D231" s="4" t="n">
        <f aca="false">LN(B231)</f>
        <v>4.93734749832642</v>
      </c>
      <c r="E231" s="4" t="n">
        <f aca="false">LN(C231)</f>
        <v>8.89454103916542</v>
      </c>
      <c r="F231" s="4" t="n">
        <f aca="false">D231-D230</f>
        <v>0</v>
      </c>
      <c r="G231" s="4" t="n">
        <f aca="false">E231-E230</f>
        <v>-0.0110620681315119</v>
      </c>
    </row>
    <row r="232" customFormat="false" ht="15" hidden="false" customHeight="false" outlineLevel="0" collapsed="false">
      <c r="A232" s="2" t="n">
        <v>44986</v>
      </c>
      <c r="B232" s="3" t="n">
        <v>139.1</v>
      </c>
      <c r="C232" s="3" t="n">
        <v>7184.70782608696</v>
      </c>
      <c r="D232" s="4" t="n">
        <f aca="false">LN(B232)</f>
        <v>4.9351930989294</v>
      </c>
      <c r="E232" s="4" t="n">
        <f aca="false">LN(C232)</f>
        <v>8.8797101332586</v>
      </c>
      <c r="F232" s="4" t="n">
        <f aca="false">D232-D231</f>
        <v>-0.00215439939702655</v>
      </c>
      <c r="G232" s="4" t="n">
        <f aca="false">E232-E231</f>
        <v>-0.0148309059068215</v>
      </c>
    </row>
    <row r="233" customFormat="false" ht="15" hidden="false" customHeight="false" outlineLevel="0" collapsed="false">
      <c r="A233" s="2" t="n">
        <v>45017</v>
      </c>
      <c r="B233" s="3" t="n">
        <v>138.6</v>
      </c>
      <c r="C233" s="3" t="n">
        <v>7173.02611111111</v>
      </c>
      <c r="D233" s="4" t="n">
        <f aca="false">LN(B233)</f>
        <v>4.9315920867558</v>
      </c>
      <c r="E233" s="4" t="n">
        <f aca="false">LN(C233)</f>
        <v>8.87808289631375</v>
      </c>
      <c r="F233" s="4" t="n">
        <f aca="false">D233-D232</f>
        <v>-0.00360101217359432</v>
      </c>
      <c r="G233" s="4" t="n">
        <f aca="false">E233-E232</f>
        <v>-0.00162723694485578</v>
      </c>
    </row>
    <row r="234" customFormat="false" ht="15" hidden="false" customHeight="false" outlineLevel="0" collapsed="false">
      <c r="A234" s="2" t="n">
        <v>45047</v>
      </c>
      <c r="B234" s="3" t="n">
        <v>138.4</v>
      </c>
      <c r="C234" s="3" t="n">
        <v>7207.70452380953</v>
      </c>
      <c r="D234" s="4" t="n">
        <f aca="false">LN(B234)</f>
        <v>4.93014804318357</v>
      </c>
      <c r="E234" s="4" t="n">
        <f aca="false">LN(C234)</f>
        <v>8.88290580563573</v>
      </c>
      <c r="F234" s="4" t="n">
        <f aca="false">D234-D233</f>
        <v>-0.00144404357223316</v>
      </c>
      <c r="G234" s="4" t="n">
        <f aca="false">E234-E233</f>
        <v>0.00482290932198026</v>
      </c>
    </row>
    <row r="235" customFormat="false" ht="15" hidden="false" customHeight="false" outlineLevel="0" collapsed="false">
      <c r="A235" s="2" t="n">
        <v>45078</v>
      </c>
      <c r="B235" s="3" t="n">
        <v>138.1</v>
      </c>
      <c r="C235" s="3" t="n">
        <v>7251.66166666667</v>
      </c>
      <c r="D235" s="4" t="n">
        <f aca="false">LN(B235)</f>
        <v>4.92797806041525</v>
      </c>
      <c r="E235" s="4" t="n">
        <f aca="false">LN(C235)</f>
        <v>8.88898591698977</v>
      </c>
      <c r="F235" s="4" t="n">
        <f aca="false">D235-D234</f>
        <v>-0.00216998276832303</v>
      </c>
      <c r="G235" s="4" t="n">
        <f aca="false">E235-E234</f>
        <v>0.00608011135403963</v>
      </c>
    </row>
    <row r="236" customFormat="false" ht="15" hidden="false" customHeight="false" outlineLevel="0" collapsed="false">
      <c r="A236" s="2" t="n">
        <v>45108</v>
      </c>
      <c r="B236" s="3" t="n">
        <v>138.1</v>
      </c>
      <c r="C236" s="3" t="n">
        <v>7272.6780952381</v>
      </c>
      <c r="D236" s="4" t="n">
        <f aca="false">LN(B236)</f>
        <v>4.92797806041525</v>
      </c>
      <c r="E236" s="4" t="n">
        <f aca="false">LN(C236)</f>
        <v>8.89187987893003</v>
      </c>
      <c r="F236" s="4" t="n">
        <f aca="false">D236-D235</f>
        <v>0</v>
      </c>
      <c r="G236" s="4" t="n">
        <f aca="false">E236-E235</f>
        <v>0.00289396194025926</v>
      </c>
    </row>
    <row r="237" customFormat="false" ht="15" hidden="false" customHeight="false" outlineLevel="0" collapsed="false">
      <c r="A237" s="2" t="n">
        <v>45139</v>
      </c>
      <c r="B237" s="3" t="n">
        <v>137.1</v>
      </c>
      <c r="C237" s="3" t="n">
        <v>7273.17977272727</v>
      </c>
      <c r="D237" s="4" t="n">
        <f aca="false">LN(B237)</f>
        <v>4.92071058656827</v>
      </c>
      <c r="E237" s="4" t="n">
        <f aca="false">LN(C237)</f>
        <v>8.89194885767214</v>
      </c>
      <c r="F237" s="4" t="n">
        <f aca="false">D237-D236</f>
        <v>-0.00726747384697823</v>
      </c>
      <c r="G237" s="4" t="n">
        <f aca="false">E237-E236</f>
        <v>6.89787421173094E-005</v>
      </c>
    </row>
    <row r="238" customFormat="false" ht="15" hidden="false" customHeight="false" outlineLevel="0" collapsed="false">
      <c r="A238" s="2" t="n">
        <v>45170</v>
      </c>
      <c r="B238" s="3" t="n">
        <v>138.2</v>
      </c>
      <c r="C238" s="3" t="n">
        <v>7276.05225</v>
      </c>
      <c r="D238" s="4" t="n">
        <f aca="false">LN(B238)</f>
        <v>4.92870191133357</v>
      </c>
      <c r="E238" s="4" t="n">
        <f aca="false">LN(C238)</f>
        <v>8.89234372075571</v>
      </c>
      <c r="F238" s="4" t="n">
        <f aca="false">D238-D237</f>
        <v>0.0079913247653014</v>
      </c>
      <c r="G238" s="4" t="n">
        <f aca="false">E238-E237</f>
        <v>0.00039486308357084</v>
      </c>
    </row>
    <row r="239" customFormat="false" ht="15" hidden="false" customHeight="false" outlineLevel="0" collapsed="false">
      <c r="A239" s="2" t="n">
        <v>45200</v>
      </c>
      <c r="B239" s="3" t="n">
        <v>138.7</v>
      </c>
      <c r="C239" s="3" t="n">
        <v>7384.8425</v>
      </c>
      <c r="D239" s="4" t="n">
        <f aca="false">LN(B239)</f>
        <v>4.93231332732079</v>
      </c>
      <c r="E239" s="4" t="n">
        <f aca="false">LN(C239)</f>
        <v>8.90718486772384</v>
      </c>
      <c r="F239" s="4" t="n">
        <f aca="false">D239-D238</f>
        <v>0.00361141598721648</v>
      </c>
      <c r="G239" s="4" t="n">
        <f aca="false">E239-E238</f>
        <v>0.0148411469681253</v>
      </c>
    </row>
    <row r="240" customFormat="false" ht="15" hidden="false" customHeight="false" outlineLevel="0" collapsed="false">
      <c r="A240" s="2" t="n">
        <v>45231</v>
      </c>
      <c r="B240" s="3" t="n">
        <v>137.9</v>
      </c>
      <c r="C240" s="3" t="n">
        <v>7442.17136363636</v>
      </c>
      <c r="D240" s="4" t="n">
        <f aca="false">LN(B240)</f>
        <v>4.92652878479926</v>
      </c>
      <c r="E240" s="4" t="n">
        <f aca="false">LN(C240)</f>
        <v>8.91491793519835</v>
      </c>
      <c r="F240" s="4" t="n">
        <f aca="false">D240-D239</f>
        <v>-0.00578454252153016</v>
      </c>
      <c r="G240" s="4" t="n">
        <f aca="false">E240-E239</f>
        <v>0.0077330674745113</v>
      </c>
    </row>
    <row r="241" customFormat="false" ht="15" hidden="false" customHeight="false" outlineLevel="0" collapsed="false">
      <c r="A241" s="2" t="n">
        <v>45261</v>
      </c>
      <c r="B241" s="3" t="n">
        <v>137</v>
      </c>
      <c r="C241" s="3" t="n">
        <v>7335.21222222222</v>
      </c>
      <c r="D241" s="4" t="n">
        <f aca="false">LN(B241)</f>
        <v>4.91998092582813</v>
      </c>
      <c r="E241" s="4" t="n">
        <f aca="false">LN(C241)</f>
        <v>8.90044162297684</v>
      </c>
      <c r="F241" s="4" t="n">
        <f aca="false">D241-D240</f>
        <v>-0.00654785897113097</v>
      </c>
      <c r="G241" s="4" t="n">
        <f aca="false">E241-E240</f>
        <v>-0.0144763122215146</v>
      </c>
    </row>
    <row r="242" customFormat="false" ht="15" hidden="false" customHeight="false" outlineLevel="0" collapsed="false">
      <c r="A242" s="2" t="n">
        <v>45292</v>
      </c>
      <c r="B242" s="3" t="n">
        <v>136.5</v>
      </c>
      <c r="C242" s="3" t="n">
        <v>7282.99886363636</v>
      </c>
      <c r="D242" s="4" t="n">
        <f aca="false">LN(B242)</f>
        <v>4.91632461462501</v>
      </c>
      <c r="E242" s="4" t="n">
        <f aca="false">LN(C242)</f>
        <v>8.89329798818829</v>
      </c>
      <c r="F242" s="4" t="n">
        <f aca="false">D242-D241</f>
        <v>-0.00365631120311072</v>
      </c>
      <c r="G242" s="4" t="n">
        <f aca="false">E242-E241</f>
        <v>-0.00714363478854096</v>
      </c>
    </row>
    <row r="243" customFormat="false" ht="15" hidden="false" customHeight="false" outlineLevel="0" collapsed="false">
      <c r="A243" s="2" t="n">
        <v>45323</v>
      </c>
      <c r="B243" s="3" t="n">
        <v>136.3</v>
      </c>
      <c r="C243" s="3" t="n">
        <v>7285.0480952381</v>
      </c>
      <c r="D243" s="4" t="n">
        <f aca="false">LN(B243)</f>
        <v>4.91485833870249</v>
      </c>
      <c r="E243" s="4" t="n">
        <f aca="false">LN(C243)</f>
        <v>8.89357932056195</v>
      </c>
      <c r="F243" s="4" t="n">
        <f aca="false">D243-D242</f>
        <v>-0.00146627592252724</v>
      </c>
      <c r="G243" s="4" t="n">
        <f aca="false">E243-E242</f>
        <v>0.000281332373658572</v>
      </c>
    </row>
    <row r="244" customFormat="false" ht="15" hidden="false" customHeight="false" outlineLevel="0" collapsed="false">
      <c r="A244" s="2" t="n">
        <v>45352</v>
      </c>
      <c r="B244" s="3" t="n">
        <v>138.3</v>
      </c>
      <c r="C244" s="3" t="n">
        <v>7317.5875</v>
      </c>
      <c r="D244" s="4" t="n">
        <f aca="false">LN(B244)</f>
        <v>4.92942523867071</v>
      </c>
      <c r="E244" s="4" t="n">
        <f aca="false">LN(C244)</f>
        <v>8.89803597613035</v>
      </c>
      <c r="F244" s="4" t="n">
        <f aca="false">D244-D243</f>
        <v>0.0145668999682256</v>
      </c>
      <c r="G244" s="4" t="n">
        <f aca="false">E244-E243</f>
        <v>0.00445665556840069</v>
      </c>
    </row>
    <row r="245" customFormat="false" ht="15" hidden="false" customHeight="false" outlineLevel="0" collapsed="false">
      <c r="A245" s="2" t="n">
        <v>45383</v>
      </c>
      <c r="B245" s="3" t="n">
        <v>138.4</v>
      </c>
      <c r="C245" s="3" t="n">
        <v>7405.40704545455</v>
      </c>
      <c r="D245" s="4" t="n">
        <f aca="false">LN(B245)</f>
        <v>4.93014804318357</v>
      </c>
      <c r="E245" s="4" t="n">
        <f aca="false">LN(C245)</f>
        <v>8.90996569419245</v>
      </c>
      <c r="F245" s="4" t="n">
        <f aca="false">D245-D244</f>
        <v>0.000722804512856889</v>
      </c>
      <c r="G245" s="4" t="n">
        <f aca="false">E245-E244</f>
        <v>0.0119297180620936</v>
      </c>
    </row>
    <row r="246" customFormat="false" ht="15" hidden="false" customHeight="false" outlineLevel="0" collapsed="false">
      <c r="A246" s="2" t="n">
        <v>45413</v>
      </c>
      <c r="B246" s="3" t="n">
        <v>139.2</v>
      </c>
      <c r="C246" s="3" t="n">
        <v>7506.95175</v>
      </c>
      <c r="D246" s="4" t="n">
        <f aca="false">LN(B246)</f>
        <v>4.93591174790032</v>
      </c>
      <c r="E246" s="4" t="n">
        <f aca="false">LN(C246)</f>
        <v>8.92358477021786</v>
      </c>
      <c r="F246" s="4" t="n">
        <f aca="false">D246-D245</f>
        <v>0.00576370471674981</v>
      </c>
      <c r="G246" s="4" t="n">
        <f aca="false">E246-E245</f>
        <v>0.013619076025412</v>
      </c>
    </row>
    <row r="247" customFormat="false" ht="15" hidden="false" customHeight="false" outlineLevel="0" collapsed="false">
      <c r="A247" s="2" t="n">
        <v>45444</v>
      </c>
      <c r="B247" s="3" t="n">
        <v>139.6</v>
      </c>
      <c r="C247" s="3" t="n">
        <v>7529.64973684211</v>
      </c>
      <c r="D247" s="4" t="n">
        <f aca="false">LN(B247)</f>
        <v>4.93878119032827</v>
      </c>
      <c r="E247" s="4" t="n">
        <f aca="false">LN(C247)</f>
        <v>8.92660380402043</v>
      </c>
      <c r="F247" s="4" t="n">
        <f aca="false">D247-D246</f>
        <v>0.00286944242795251</v>
      </c>
      <c r="G247" s="4" t="n">
        <f aca="false">E247-E246</f>
        <v>0.00301903380257151</v>
      </c>
    </row>
    <row r="248" customFormat="false" ht="15" hidden="false" customHeight="false" outlineLevel="0" collapsed="false">
      <c r="A248" s="2" t="n">
        <v>45474</v>
      </c>
      <c r="B248" s="3" t="n">
        <v>139.7</v>
      </c>
      <c r="C248" s="3" t="n">
        <v>7554.67804347826</v>
      </c>
      <c r="D248" s="4" t="n">
        <f aca="false">LN(B248)</f>
        <v>4.93949726626292</v>
      </c>
      <c r="E248" s="4" t="n">
        <f aca="false">LN(C248)</f>
        <v>8.92992225877275</v>
      </c>
      <c r="F248" s="4" t="n">
        <f aca="false">D248-D247</f>
        <v>0.000716075934644067</v>
      </c>
      <c r="G248" s="4" t="n">
        <f aca="false">E248-E247</f>
        <v>0.00331845475232306</v>
      </c>
    </row>
    <row r="249" customFormat="false" ht="15" hidden="false" customHeight="false" outlineLevel="0" collapsed="false">
      <c r="A249" s="2" t="n">
        <v>45505</v>
      </c>
      <c r="B249" s="3" t="n">
        <v>140.3</v>
      </c>
      <c r="C249" s="3" t="n">
        <v>7594.07619047619</v>
      </c>
      <c r="D249" s="4" t="n">
        <f aca="false">LN(B249)</f>
        <v>4.94378298710842</v>
      </c>
      <c r="E249" s="4" t="n">
        <f aca="false">LN(C249)</f>
        <v>8.93512377372485</v>
      </c>
      <c r="F249" s="4" t="n">
        <f aca="false">D249-D248</f>
        <v>0.00428572084549916</v>
      </c>
      <c r="G249" s="4" t="n">
        <f aca="false">E249-E248</f>
        <v>0.00520151495209653</v>
      </c>
    </row>
    <row r="250" customFormat="false" ht="15" hidden="false" customHeight="false" outlineLevel="0" collapsed="false">
      <c r="A250" s="2" t="n">
        <v>45536</v>
      </c>
      <c r="B250" s="3" t="n">
        <v>141.2</v>
      </c>
      <c r="C250" s="3" t="n">
        <v>7764.5705</v>
      </c>
      <c r="D250" s="4" t="n">
        <f aca="false">LN(B250)</f>
        <v>4.95017732505914</v>
      </c>
      <c r="E250" s="4" t="n">
        <f aca="false">LN(C250)</f>
        <v>8.95732642175423</v>
      </c>
      <c r="F250" s="4" t="n">
        <f aca="false">D250-D249</f>
        <v>0.0063943379507263</v>
      </c>
      <c r="G250" s="4" t="n">
        <f aca="false">E250-E249</f>
        <v>0.0222026480293795</v>
      </c>
    </row>
    <row r="251" customFormat="false" ht="15" hidden="false" customHeight="false" outlineLevel="0" collapsed="false">
      <c r="A251" s="2" t="n">
        <v>45566</v>
      </c>
      <c r="B251" s="3" t="n">
        <v>141.4</v>
      </c>
      <c r="C251" s="3" t="n">
        <v>7866.67847826087</v>
      </c>
      <c r="D251" s="4" t="n">
        <f aca="false">LN(B251)</f>
        <v>4.95159275346247</v>
      </c>
      <c r="E251" s="4" t="n">
        <f aca="false">LN(C251)</f>
        <v>8.9703912038183</v>
      </c>
      <c r="F251" s="4" t="n">
        <f aca="false">D251-D250</f>
        <v>0.0014154284033312</v>
      </c>
      <c r="G251" s="4" t="n">
        <f aca="false">E251-E250</f>
        <v>0.0130647820640739</v>
      </c>
    </row>
    <row r="252" customFormat="false" ht="15" hidden="false" customHeight="false" outlineLevel="0" collapsed="false">
      <c r="A252" s="2" t="n">
        <v>45597</v>
      </c>
      <c r="B252" s="3" t="n">
        <v>141.3</v>
      </c>
      <c r="C252" s="3" t="n">
        <v>7805.08285714286</v>
      </c>
      <c r="D252" s="4" t="n">
        <f aca="false">LN(B252)</f>
        <v>4.95088528969048</v>
      </c>
      <c r="E252" s="4" t="n">
        <f aca="false">LN(C252)</f>
        <v>8.96253044879874</v>
      </c>
      <c r="F252" s="4" t="n">
        <f aca="false">D252-D251</f>
        <v>-0.000707463771990824</v>
      </c>
      <c r="G252" s="4" t="n">
        <f aca="false">E252-E251</f>
        <v>-0.00786075501956418</v>
      </c>
    </row>
    <row r="253" customFormat="false" ht="15" hidden="false" customHeight="false" outlineLevel="0" collapsed="false">
      <c r="A253" s="2" t="n">
        <v>45627</v>
      </c>
      <c r="B253" s="3" t="n">
        <v>141.2</v>
      </c>
      <c r="C253" s="3" t="n">
        <v>7810.242</v>
      </c>
      <c r="D253" s="4" t="n">
        <f aca="false">LN(B253)</f>
        <v>4.95017732505914</v>
      </c>
      <c r="E253" s="4" t="n">
        <f aca="false">LN(C253)</f>
        <v>8.96319122826917</v>
      </c>
      <c r="F253" s="4" t="n">
        <f aca="false">D253-D252</f>
        <v>-0.000707964631340374</v>
      </c>
      <c r="G253" s="4" t="n">
        <f aca="false">E253-E252</f>
        <v>0.000660779470431194</v>
      </c>
    </row>
    <row r="254" customFormat="false" ht="15" hidden="false" customHeight="false" outlineLevel="0" collapsed="false">
      <c r="A254" s="2" t="n">
        <v>45658</v>
      </c>
      <c r="B254" s="3" t="n">
        <v>141.9</v>
      </c>
      <c r="C254" s="3" t="n">
        <v>7892.68477272727</v>
      </c>
      <c r="D254" s="4" t="n">
        <f aca="false">LN(B254)</f>
        <v>4.955122584166</v>
      </c>
      <c r="E254" s="4" t="n">
        <f aca="false">LN(C254)</f>
        <v>8.97369163133673</v>
      </c>
      <c r="F254" s="4" t="n">
        <f aca="false">D254-D253</f>
        <v>0.00494525910685528</v>
      </c>
      <c r="G254" s="4" t="n">
        <f aca="false">E254-E253</f>
        <v>0.0105004030675602</v>
      </c>
    </row>
    <row r="255" customFormat="false" ht="15" hidden="false" customHeight="false" outlineLevel="0" collapsed="false">
      <c r="A255" s="2" t="n">
        <v>45689</v>
      </c>
      <c r="B255" s="3" t="n">
        <v>143.3</v>
      </c>
      <c r="C255" s="3" t="n">
        <v>7897.4905</v>
      </c>
      <c r="D255" s="4" t="n">
        <f aca="false">LN(B255)</f>
        <v>4.96494033483413</v>
      </c>
      <c r="E255" s="4" t="n">
        <f aca="false">LN(C255)</f>
        <v>8.9743003297632</v>
      </c>
      <c r="F255" s="4" t="n">
        <f aca="false">D255-D254</f>
        <v>0.0098177506681294</v>
      </c>
      <c r="G255" s="4" t="n">
        <f aca="false">E255-E254</f>
        <v>0.000608698426471932</v>
      </c>
    </row>
    <row r="256" customFormat="false" ht="15" hidden="false" customHeight="false" outlineLevel="0" collapsed="false">
      <c r="A256" s="2" t="n">
        <v>45717</v>
      </c>
      <c r="B256" s="3" t="n">
        <v>143.8</v>
      </c>
      <c r="C256" s="3" t="n">
        <v>7962.894</v>
      </c>
      <c r="D256" s="4" t="n">
        <f aca="false">LN(B256)</f>
        <v>4.96842344528695</v>
      </c>
      <c r="E256" s="4" t="n">
        <f aca="false">LN(C256)</f>
        <v>8.98254778060285</v>
      </c>
      <c r="F256" s="4" t="n">
        <f aca="false">D256-D255</f>
        <v>0.00348311045282035</v>
      </c>
      <c r="G256" s="4" t="n">
        <f aca="false">E256-E255</f>
        <v>0.00824745083964906</v>
      </c>
    </row>
    <row r="257" customFormat="false" ht="15" hidden="false" customHeight="false" outlineLevel="0" collapsed="false">
      <c r="A257" s="2" t="n">
        <v>45748</v>
      </c>
      <c r="B257" s="3" t="n">
        <v>144</v>
      </c>
      <c r="C257" s="3" t="n">
        <v>8006.00075</v>
      </c>
      <c r="D257" s="4" t="n">
        <f aca="false">LN(B257)</f>
        <v>4.969813299576</v>
      </c>
      <c r="E257" s="4" t="n">
        <f aca="false">LN(C257)</f>
        <v>8.98794663323226</v>
      </c>
      <c r="F257" s="4" t="n">
        <f aca="false">D257-D256</f>
        <v>0.00138985428905425</v>
      </c>
      <c r="G257" s="4" t="n">
        <f aca="false">E257-E256</f>
        <v>0.0053988526294031</v>
      </c>
    </row>
    <row r="258" customFormat="false" ht="15" hidden="false" customHeight="false" outlineLevel="0" collapsed="false">
      <c r="A258" s="2" t="n">
        <v>45778</v>
      </c>
      <c r="B258" s="3" t="n">
        <v>143.3</v>
      </c>
      <c r="C258" s="3" t="n">
        <v>7986.78236842105</v>
      </c>
      <c r="D258" s="4" t="n">
        <f aca="false">LN(B258)</f>
        <v>4.96494033483413</v>
      </c>
      <c r="E258" s="4" t="n">
        <f aca="false">LN(C258)</f>
        <v>8.98554325032042</v>
      </c>
      <c r="F258" s="4" t="n">
        <f aca="false">D258-D257</f>
        <v>-0.0048729647418746</v>
      </c>
      <c r="G258" s="4" t="n">
        <f aca="false">E258-E257</f>
        <v>-0.00240338291184017</v>
      </c>
    </row>
    <row r="259" customFormat="false" ht="15" hidden="false" customHeight="false" outlineLevel="0" collapsed="false">
      <c r="A259" s="2" t="n">
        <v>45809</v>
      </c>
      <c r="B259" s="3" t="n">
        <v>144.6</v>
      </c>
      <c r="C259" s="3" t="n">
        <v>7955.8235</v>
      </c>
      <c r="D259" s="4" t="n">
        <f aca="false">LN(B259)</f>
        <v>4.97397130972466</v>
      </c>
      <c r="E259" s="4" t="n">
        <f aca="false">LN(C259)</f>
        <v>8.98165945521295</v>
      </c>
      <c r="F259" s="4" t="n">
        <f aca="false">D259-D258</f>
        <v>0.00903097489053817</v>
      </c>
      <c r="G259" s="4" t="n">
        <f aca="false">E259-E258</f>
        <v>-0.00388379510746439</v>
      </c>
    </row>
    <row r="260" customFormat="false" ht="15" hidden="false" customHeight="false" outlineLevel="0" collapsed="false">
      <c r="A260" s="2" t="n">
        <v>45839</v>
      </c>
      <c r="B260" s="3" t="n">
        <v>144.6</v>
      </c>
      <c r="C260" s="3" t="n">
        <v>7550.95239130435</v>
      </c>
      <c r="D260" s="4" t="n">
        <f aca="false">LN(B260)</f>
        <v>4.97397130972466</v>
      </c>
      <c r="E260" s="4" t="n">
        <f aca="false">LN(C260)</f>
        <v>8.92942897883114</v>
      </c>
      <c r="F260" s="4" t="n">
        <f aca="false">D260-D259</f>
        <v>0</v>
      </c>
      <c r="G260" s="4" t="n">
        <f aca="false">E260-E259</f>
        <v>-0.052230476381812</v>
      </c>
    </row>
    <row r="261" customFormat="false" ht="15" hidden="false" customHeight="false" outlineLevel="0" collapsed="false">
      <c r="A261" s="2" t="n">
        <v>45870</v>
      </c>
      <c r="B261" s="3" t="n">
        <v>143</v>
      </c>
      <c r="C261" s="3" t="n">
        <v>7313.60175</v>
      </c>
      <c r="D261" s="4" t="n">
        <f aca="false">LN(B261)</f>
        <v>4.96284463025991</v>
      </c>
      <c r="E261" s="4" t="n">
        <f aca="false">LN(C261)</f>
        <v>8.8974911468577</v>
      </c>
      <c r="F261" s="4" t="n">
        <f aca="false">D261-D260</f>
        <v>-0.0111266794647573</v>
      </c>
      <c r="G261" s="4" t="n">
        <f aca="false">E261-E260</f>
        <v>-0.0319378319734422</v>
      </c>
    </row>
    <row r="262" customFormat="false" ht="15" hidden="false" customHeight="false" outlineLevel="0" collapsed="false">
      <c r="A262" s="2" t="n">
        <v>45901</v>
      </c>
      <c r="B262" s="3" t="n">
        <v>141.9</v>
      </c>
      <c r="C262" s="3" t="n">
        <v>7158.73075</v>
      </c>
      <c r="D262" s="4" t="n">
        <f aca="false">LN(B262)</f>
        <v>4.955122584166</v>
      </c>
      <c r="E262" s="4" t="n">
        <f aca="false">LN(C262)</f>
        <v>8.87608797468752</v>
      </c>
      <c r="F262" s="4" t="n">
        <f aca="false">D262-D261</f>
        <v>-0.00772204609391025</v>
      </c>
      <c r="G262" s="4" t="n">
        <f aca="false">E262-E261</f>
        <v>-0.0214031721701815</v>
      </c>
    </row>
    <row r="263" customFormat="false" ht="15" hidden="false" customHeight="false" outlineLevel="0" collapsed="false">
      <c r="A263" s="2" t="n">
        <v>45931</v>
      </c>
      <c r="B263" s="3" t="n">
        <v>140.6</v>
      </c>
      <c r="C263" s="3" t="n">
        <v>7056.71434782609</v>
      </c>
      <c r="D263" s="4" t="n">
        <f aca="false">LN(B263)</f>
        <v>4.94591897937656</v>
      </c>
      <c r="E263" s="4" t="n">
        <f aca="false">LN(C263)</f>
        <v>8.8617348323335</v>
      </c>
      <c r="F263" s="4" t="n">
        <f aca="false">D263-D262</f>
        <v>-0.00920360478943216</v>
      </c>
      <c r="G263" s="4" t="n">
        <f aca="false">E263-E262</f>
        <v>-0.0143531423540164</v>
      </c>
    </row>
    <row r="264" customFormat="false" ht="15" hidden="false" customHeight="false" outlineLevel="0" collapsed="false">
      <c r="A264" s="2" t="n">
        <v>45962</v>
      </c>
      <c r="B264" s="3" t="n">
        <v>140.7</v>
      </c>
      <c r="C264" s="3" t="n">
        <v>7038.68225</v>
      </c>
      <c r="D264" s="4" t="n">
        <f aca="false">LN(B264)</f>
        <v>4.94662996412034</v>
      </c>
      <c r="E264" s="4" t="n">
        <f aca="false">LN(C264)</f>
        <v>8.85917625123392</v>
      </c>
      <c r="F264" s="4" t="n">
        <f aca="false">D264-D263</f>
        <v>0.000710984743778731</v>
      </c>
      <c r="G264" s="4" t="n">
        <f aca="false">E264-E263</f>
        <v>-0.0025585810995743</v>
      </c>
    </row>
    <row r="265" customFormat="false" ht="15" hidden="false" customHeight="false" outlineLevel="0" collapsed="false">
      <c r="A265" s="2" t="n">
        <v>45992</v>
      </c>
      <c r="B265" s="3" t="n">
        <v>139</v>
      </c>
      <c r="C265" s="3" t="n">
        <v>6725.00368421053</v>
      </c>
      <c r="D265" s="4" t="n">
        <f aca="false">LN(B265)</f>
        <v>4.93447393313069</v>
      </c>
      <c r="E265" s="4" t="n">
        <f aca="false">LN(C265)</f>
        <v>8.81358775230789</v>
      </c>
      <c r="F265" s="4" t="n">
        <f aca="false">D265-D264</f>
        <v>-0.0121560309896518</v>
      </c>
      <c r="G265" s="4" t="n">
        <f aca="false">E265-E264</f>
        <v>-0.0455884989260369</v>
      </c>
    </row>
    <row r="266" customFormat="false" ht="15" hidden="false" customHeight="false" outlineLevel="0" collapsed="false">
      <c r="A266" s="2" t="n">
        <v>46023</v>
      </c>
      <c r="B266" s="3" t="n">
        <v>138.5</v>
      </c>
      <c r="C266" s="3" t="n">
        <v>6687.26333333333</v>
      </c>
      <c r="D266" s="4" t="n">
        <f aca="false">LN(B266)</f>
        <v>4.93087032562739</v>
      </c>
      <c r="E266" s="4" t="n">
        <f aca="false">LN(C266)</f>
        <v>8.80796000116994</v>
      </c>
      <c r="F266" s="4" t="n">
        <f aca="false">D266-D265</f>
        <v>-0.00360360750329836</v>
      </c>
      <c r="G266" s="4" t="n">
        <f aca="false">E266-E265</f>
        <v>-0.00562775113794523</v>
      </c>
    </row>
    <row r="267" customFormat="false" ht="15" hidden="false" customHeight="false" outlineLevel="0" collapsed="false">
      <c r="A267" s="2" t="n">
        <v>46054</v>
      </c>
      <c r="B267" s="3" t="n">
        <v>137.6</v>
      </c>
      <c r="C267" s="3" t="n">
        <v>6525.67</v>
      </c>
      <c r="D267" s="4" t="n">
        <f aca="false">LN(B267)</f>
        <v>4.92435092549924</v>
      </c>
      <c r="E267" s="4" t="n">
        <f aca="false">LN(C267)</f>
        <v>8.7834989089118</v>
      </c>
      <c r="F267" s="4" t="n">
        <f aca="false">D267-D266</f>
        <v>-0.00651940012815011</v>
      </c>
      <c r="G267" s="4" t="n">
        <f aca="false">E267-E266</f>
        <v>-0.0244610922581447</v>
      </c>
    </row>
    <row r="268" customFormat="false" ht="15" hidden="false" customHeight="false" outlineLevel="0" collapsed="false">
      <c r="A268" s="2" t="n">
        <v>46082</v>
      </c>
      <c r="B268" s="3" t="n">
        <v>140.5</v>
      </c>
      <c r="C268" s="3" t="n">
        <v>6504.37190476191</v>
      </c>
      <c r="D268" s="4" t="n">
        <f aca="false">LN(B268)</f>
        <v>4.9452074887738</v>
      </c>
      <c r="E268" s="4" t="n">
        <f aca="false">LN(C268)</f>
        <v>8.78022983052183</v>
      </c>
      <c r="F268" s="4" t="n">
        <f aca="false">D268-D267</f>
        <v>0.0208565632745579</v>
      </c>
      <c r="G268" s="4" t="n">
        <f aca="false">E268-E267</f>
        <v>-0.00326907838996604</v>
      </c>
    </row>
    <row r="269" customFormat="false" ht="15" hidden="false" customHeight="false" outlineLevel="0" collapsed="false">
      <c r="A269" s="2" t="n">
        <v>46113</v>
      </c>
      <c r="B269" s="3" t="n">
        <v>144.8</v>
      </c>
      <c r="C269" s="3" t="n">
        <v>6348.231</v>
      </c>
      <c r="D269" s="4" t="n">
        <f aca="false">LN(B269)</f>
        <v>4.97535347995162</v>
      </c>
      <c r="E269" s="4" t="n">
        <f aca="false">LN(C269)</f>
        <v>8.75593147039821</v>
      </c>
      <c r="F269" s="4" t="n">
        <f aca="false">D269-D268</f>
        <v>0.0301459911778155</v>
      </c>
      <c r="G269" s="4" t="n">
        <f aca="false">E269-E268</f>
        <v>-0.0242983601236215</v>
      </c>
    </row>
    <row r="270" customFormat="false" ht="15" hidden="false" customHeight="false" outlineLevel="0" collapsed="false">
      <c r="A270" s="2" t="n">
        <v>46143</v>
      </c>
      <c r="B270" s="3" t="n">
        <v>144</v>
      </c>
      <c r="C270" s="3" t="n">
        <v>6126.09277777778</v>
      </c>
      <c r="D270" s="4" t="n">
        <f aca="false">LN(B270)</f>
        <v>4.969813299576</v>
      </c>
      <c r="E270" s="4" t="n">
        <f aca="false">LN(C270)</f>
        <v>8.72031243219769</v>
      </c>
      <c r="F270" s="4" t="n">
        <f aca="false">D270-D269</f>
        <v>-0.00554018037561566</v>
      </c>
      <c r="G270" s="4" t="n">
        <f aca="false">E270-E269</f>
        <v>-0.0356190382005224</v>
      </c>
    </row>
    <row r="271" customFormat="false" ht="15" hidden="false" customHeight="false" outlineLevel="0" collapsed="false">
      <c r="A271" s="2" t="n">
        <v>46174</v>
      </c>
      <c r="B271" s="3" t="n">
        <v>143.5</v>
      </c>
      <c r="C271" s="3" t="n">
        <v>6115.41</v>
      </c>
      <c r="D271" s="4" t="n">
        <f aca="false">LN(B271)</f>
        <v>4.96633503519968</v>
      </c>
      <c r="E271" s="4" t="n">
        <f aca="false">LN(C271)</f>
        <v>8.71856709411567</v>
      </c>
      <c r="F271" s="4" t="n">
        <f aca="false">D271-D270</f>
        <v>-0.0034782643763247</v>
      </c>
      <c r="G271" s="4" t="n">
        <f aca="false">E271-E270</f>
        <v>-0.00174533808201893</v>
      </c>
    </row>
    <row r="272" customFormat="false" ht="15" hidden="false" customHeight="false" outlineLevel="0" collapsed="false">
      <c r="A272" s="2" t="n">
        <v>46204</v>
      </c>
      <c r="B272" s="3" t="n">
        <v>142.6</v>
      </c>
      <c r="C272" s="3" t="n">
        <v>6049.62086956522</v>
      </c>
      <c r="D272" s="4" t="n">
        <f aca="false">LN(B272)</f>
        <v>4.9600435079802</v>
      </c>
      <c r="E272" s="4" t="n">
        <f aca="false">LN(C272)</f>
        <v>8.70775088287371</v>
      </c>
      <c r="F272" s="4" t="n">
        <f aca="false">D272-D271</f>
        <v>-0.00629152721948056</v>
      </c>
      <c r="G272" s="4" t="n">
        <f aca="false">E272-E271</f>
        <v>-0.0108162112419556</v>
      </c>
    </row>
    <row r="273" customFormat="false" ht="15" hidden="false" customHeight="false" outlineLevel="0" collapsed="false">
      <c r="A273" s="2" t="n">
        <v>46235</v>
      </c>
      <c r="B273" s="3" t="n">
        <v>143.6</v>
      </c>
      <c r="C273" s="3" t="n">
        <v>5974.51738095238</v>
      </c>
      <c r="D273" s="4" t="n">
        <f aca="false">LN(B273)</f>
        <v>4.96703165661412</v>
      </c>
      <c r="E273" s="4" t="n">
        <f aca="false">LN(C273)</f>
        <v>8.69525860047503</v>
      </c>
      <c r="F273" s="4" t="n">
        <f aca="false">D273-D272</f>
        <v>0.00698814863392805</v>
      </c>
      <c r="G273" s="4" t="n">
        <f aca="false">E273-E272</f>
        <v>-0.0124922823986839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6" t="s">
        <v>7</v>
      </c>
    </row>
    <row r="2" customFormat="false" ht="15" hidden="false" customHeight="false" outlineLevel="0" collapsed="false">
      <c r="A2" s="7"/>
    </row>
    <row r="3" customFormat="false" ht="23.85" hidden="false" customHeight="false" outlineLevel="0" collapsed="false">
      <c r="A3" s="7" t="s">
        <v>8</v>
      </c>
    </row>
    <row r="4" customFormat="false" ht="15" hidden="false" customHeight="false" outlineLevel="0" collapsed="false">
      <c r="A4" s="7" t="s">
        <v>9</v>
      </c>
    </row>
    <row r="5" customFormat="false" ht="15" hidden="false" customHeight="false" outlineLevel="0" collapsed="false">
      <c r="A5" s="7" t="s">
        <v>10</v>
      </c>
    </row>
    <row r="6" customFormat="false" ht="15" hidden="false" customHeight="false" outlineLevel="0" collapsed="false">
      <c r="A6" s="7"/>
    </row>
    <row r="7" customFormat="false" ht="15" hidden="false" customHeight="false" outlineLevel="0" collapsed="false">
      <c r="A7" s="8" t="s">
        <v>11</v>
      </c>
    </row>
    <row r="8" customFormat="false" ht="15" hidden="false" customHeight="false" outlineLevel="0" collapsed="false">
      <c r="A8" s="7" t="s">
        <v>12</v>
      </c>
    </row>
    <row r="9" customFormat="false" ht="23.85" hidden="false" customHeight="false" outlineLevel="0" collapsed="false">
      <c r="A9" s="7" t="s">
        <v>13</v>
      </c>
    </row>
    <row r="10" customFormat="false" ht="15" hidden="false" customHeight="false" outlineLevel="0" collapsed="false">
      <c r="A10" s="7" t="s">
        <v>14</v>
      </c>
    </row>
    <row r="11" customFormat="false" ht="15" hidden="false" customHeight="false" outlineLevel="0" collapsed="false">
      <c r="A11" s="7" t="s">
        <v>15</v>
      </c>
    </row>
    <row r="12" customFormat="false" ht="15" hidden="false" customHeight="false" outlineLevel="0" collapsed="false">
      <c r="A12" s="7"/>
    </row>
    <row r="13" customFormat="false" ht="23.85" hidden="false" customHeight="false" outlineLevel="0" collapsed="false">
      <c r="A13" s="7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2026-09-21T16:54:20Z</dcterms:created>
  <dc:creator>openpyxl</dc:creator>
  <dc:description/>
  <dc:language>en-US</dc:language>
  <cp:lastModifiedBy/>
  <dcterms:modified xsi:type="dcterms:W3CDTF">2026-09-21T16:54:20Z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